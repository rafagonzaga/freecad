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onzaga\Downloads\"/>
    </mc:Choice>
  </mc:AlternateContent>
  <xr:revisionPtr revIDLastSave="0" documentId="13_ncr:1_{52E4E938-0CD0-4C48-BB3F-D0EC744C4A2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3E" sheetId="1" r:id="rId1"/>
    <sheet name="Fi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6" i="2" l="1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</calcChain>
</file>

<file path=xl/sharedStrings.xml><?xml version="1.0" encoding="utf-8"?>
<sst xmlns="http://schemas.openxmlformats.org/spreadsheetml/2006/main" count="708" uniqueCount="89">
  <si>
    <t>Relatório de Consulta de Avaliação</t>
  </si>
  <si>
    <t>Ano Letivo:</t>
  </si>
  <si>
    <t>2026</t>
  </si>
  <si>
    <t>Bimestre:</t>
  </si>
  <si>
    <t>1º</t>
  </si>
  <si>
    <t>Diretoria:</t>
  </si>
  <si>
    <t>LESTE 2</t>
  </si>
  <si>
    <t>Escola:</t>
  </si>
  <si>
    <t>ESTELA BORGES MORATO</t>
  </si>
  <si>
    <t>Tipo de Ensino:</t>
  </si>
  <si>
    <t>NOVO ENSINO MÉDIO</t>
  </si>
  <si>
    <t>Turma:</t>
  </si>
  <si>
    <t>3ª SERIE E NOITE ANUAL</t>
  </si>
  <si>
    <t>Disciplina:</t>
  </si>
  <si>
    <t>FISICA</t>
  </si>
  <si>
    <t>Nº</t>
  </si>
  <si>
    <t>Situação</t>
  </si>
  <si>
    <t>Nome</t>
  </si>
  <si>
    <t>Ativo</t>
  </si>
  <si>
    <t>ALICE DE PAULA ALVES LIMA</t>
  </si>
  <si>
    <t>ANA BEATRIZ SPLICIDO PASCOA DE JESUS</t>
  </si>
  <si>
    <t>ANA JULIA RODRIGUES DA FONSECA</t>
  </si>
  <si>
    <t>Remanejamento</t>
  </si>
  <si>
    <t>ANA LETICIA AUGUSTINHO DA SILVA RAMOS</t>
  </si>
  <si>
    <t>ARTUR RIBEIRO DOS SANTOS SILVA</t>
  </si>
  <si>
    <t>BEATRIZ RIBEIRO DA SILVA</t>
  </si>
  <si>
    <t>BRYAN OLIVEIRA CRUZ</t>
  </si>
  <si>
    <t>CAROLINE SILVA</t>
  </si>
  <si>
    <t>DEBORA REGINA MACEDO TAVEIRA DA SILVA</t>
  </si>
  <si>
    <t>EVAN RAFAEL DA SILVA SOARES</t>
  </si>
  <si>
    <t>GABRIEL MARQUES DA SILVA</t>
  </si>
  <si>
    <t>GABRIEL SOARES DE CARVALHO</t>
  </si>
  <si>
    <t>GABRIELLY DE SOUZA RODRIGUES</t>
  </si>
  <si>
    <t>GUILHERME TANAN DE BRITTO</t>
  </si>
  <si>
    <t>GUSTAVO HENRIQUE SILVA NOVAES SANTANA</t>
  </si>
  <si>
    <t>JACSON FERREIRA DA SILVA</t>
  </si>
  <si>
    <t>JOAO PEDRO PEREIRA SOARES</t>
  </si>
  <si>
    <t>JULIA OLIVEIRA DE ALMEIDA</t>
  </si>
  <si>
    <t>KAWANE SOUSA AMANCIO</t>
  </si>
  <si>
    <t>KAYQUE AMORIM DA SILVA</t>
  </si>
  <si>
    <t>LIVIA DA SILVA SANTOS</t>
  </si>
  <si>
    <t>LUCAS DEOCLECIO DE JESUS LEMOS</t>
  </si>
  <si>
    <t>LUDMILA FARIAS COSTA</t>
  </si>
  <si>
    <t>MIKAELA SILVA DE SANTANA</t>
  </si>
  <si>
    <t>MILENY OLIVEIRA QUINTAES</t>
  </si>
  <si>
    <t>MIQUEIAS CARDOSO DA SILVA</t>
  </si>
  <si>
    <t>NICOLLAS VINICIUS DA SILVA SABBADINI</t>
  </si>
  <si>
    <t>RICHARD NOGUEIRA DO NASCIMENTO</t>
  </si>
  <si>
    <t>RODRIGO ALVES DOS SANTOS</t>
  </si>
  <si>
    <t>SARA MASCENA DA CRUZ</t>
  </si>
  <si>
    <t>VINICIUS RODRIGUES ALVES</t>
  </si>
  <si>
    <t>YAGO BOAVENTURA CAXIAS PAIVA</t>
  </si>
  <si>
    <t>YASMIM DE SA ANACLETO</t>
  </si>
  <si>
    <t>YUDI PAES ZHANG</t>
  </si>
  <si>
    <t>LUIS GUSTAVO BOTELHO DE SOUSA</t>
  </si>
  <si>
    <t>AMANDA GOMES MARTINS DA SILVA</t>
  </si>
  <si>
    <t>MARY ALVES MELO</t>
  </si>
  <si>
    <t>KAUA PIMENTEL DUARTE</t>
  </si>
  <si>
    <t>RUAN MESQUITA DE ARAUJO</t>
  </si>
  <si>
    <t>RICHARD SANTOS DA SILVA</t>
  </si>
  <si>
    <t>ANA CAROLINA NOGUEIRA COELHO</t>
  </si>
  <si>
    <t>KAYQUE GABRIEL PEREIRA DOS SANTOS</t>
  </si>
  <si>
    <t>Ana Beatriz</t>
  </si>
  <si>
    <t>3ºE</t>
  </si>
  <si>
    <t>C</t>
  </si>
  <si>
    <t>B</t>
  </si>
  <si>
    <t>A</t>
  </si>
  <si>
    <t>Ana Carolina Nogueira Coelho</t>
  </si>
  <si>
    <t>D</t>
  </si>
  <si>
    <t>Artur Ribeiro</t>
  </si>
  <si>
    <t>Bryan oliveira cruz</t>
  </si>
  <si>
    <t>caroline</t>
  </si>
  <si>
    <t>Evan rafael da silva soares</t>
  </si>
  <si>
    <t>gabriel marques</t>
  </si>
  <si>
    <t>Gabriel Soares de Carvalho</t>
  </si>
  <si>
    <t>Guilherme Tanan de Britto</t>
  </si>
  <si>
    <t>gustavo henrique</t>
  </si>
  <si>
    <t>jacson ferreira da silva</t>
  </si>
  <si>
    <t>joao pedro pereira soares</t>
  </si>
  <si>
    <t>Kauã Pimentel Duarte</t>
  </si>
  <si>
    <t>Kawane Sousa Amancio</t>
  </si>
  <si>
    <t>Kayque Gabriel</t>
  </si>
  <si>
    <t>Luis Gustavo Botelho de Sousa</t>
  </si>
  <si>
    <t>Mary Alves Melo</t>
  </si>
  <si>
    <t>Nicollas Vinicius Da Silva Sabbadini</t>
  </si>
  <si>
    <t>Richard Nogueira Do Nascimento</t>
  </si>
  <si>
    <t>richard santos da silva</t>
  </si>
  <si>
    <t>Rodrigo Alves dos Santos</t>
  </si>
  <si>
    <t>Yasmim de sa anacleto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</si>
</sst>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8"/>
      <color rgb="FF459AD6"/>
      <name val="Calibri"/>
      <family val="2"/>
    </font>
    <font>
      <b/>
      <sz val="11"/>
      <color rgb="FFFFFFFF"/>
      <name val="Calibri"/>
      <family val="2"/>
    </font>
    <font>
      <sz val="10"/>
      <color rgb="FF434343"/>
      <name val="Roboto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59AD6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16" fontId="4" fillId="0" borderId="1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"/>
  <sheetViews>
    <sheetView workbookViewId="0">
      <selection activeCell="A10" sqref="A10"/>
    </sheetView>
  </sheetViews>
  <sheetFormatPr defaultRowHeight="14.5" x14ac:dyDescent="0.35"/>
  <cols>
    <col min="1" max="1" width="13.6328125" bestFit="1" customWidth="1"/>
    <col min="2" max="2" width="22.36328125" bestFit="1" customWidth="1"/>
    <col min="3" max="3" width="39.54296875" bestFit="1" customWidth="1"/>
    <col min="4" max="4" width="30" bestFit="1" customWidth="1"/>
    <col min="5" max="5" width="3.6328125" bestFit="1" customWidth="1"/>
    <col min="6" max="15" width="2" bestFit="1" customWidth="1"/>
    <col min="16" max="16" width="9.1796875" customWidth="1"/>
    <col min="17" max="17" width="30" bestFit="1" customWidth="1"/>
    <col min="18" max="18" width="5.81640625" bestFit="1" customWidth="1"/>
    <col min="19" max="28" width="2" bestFit="1" customWidth="1"/>
  </cols>
  <sheetData>
    <row r="1" spans="1:29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x14ac:dyDescent="0.35">
      <c r="A2" t="s">
        <v>1</v>
      </c>
      <c r="B2" t="s">
        <v>2</v>
      </c>
    </row>
    <row r="3" spans="1:29" x14ac:dyDescent="0.35">
      <c r="A3" t="s">
        <v>3</v>
      </c>
      <c r="B3" t="s">
        <v>4</v>
      </c>
    </row>
    <row r="4" spans="1:29" x14ac:dyDescent="0.35">
      <c r="A4" t="s">
        <v>5</v>
      </c>
      <c r="B4" t="s">
        <v>6</v>
      </c>
    </row>
    <row r="5" spans="1:29" x14ac:dyDescent="0.35">
      <c r="A5" t="s">
        <v>7</v>
      </c>
      <c r="B5" t="s">
        <v>8</v>
      </c>
    </row>
    <row r="6" spans="1:29" x14ac:dyDescent="0.35">
      <c r="A6" t="s">
        <v>9</v>
      </c>
      <c r="B6" t="s">
        <v>10</v>
      </c>
    </row>
    <row r="7" spans="1:29" x14ac:dyDescent="0.35">
      <c r="A7" t="s">
        <v>11</v>
      </c>
      <c r="B7" t="s">
        <v>12</v>
      </c>
    </row>
    <row r="8" spans="1:29" x14ac:dyDescent="0.35">
      <c r="A8" t="s">
        <v>13</v>
      </c>
      <c r="B8" t="s">
        <v>14</v>
      </c>
    </row>
    <row r="9" spans="1:29" ht="15" thickBot="1" x14ac:dyDescent="0.4"/>
    <row r="10" spans="1:29" ht="15" thickBot="1" x14ac:dyDescent="0.4">
      <c r="A10" s="2" t="s">
        <v>15</v>
      </c>
      <c r="B10" s="2" t="s">
        <v>16</v>
      </c>
      <c r="C10" s="2" t="s">
        <v>17</v>
      </c>
      <c r="F10" s="12" t="s">
        <v>64</v>
      </c>
      <c r="G10" s="13" t="s">
        <v>65</v>
      </c>
      <c r="H10" s="13" t="s">
        <v>64</v>
      </c>
      <c r="I10" s="13" t="s">
        <v>66</v>
      </c>
      <c r="J10" s="13" t="s">
        <v>66</v>
      </c>
      <c r="K10" s="13" t="s">
        <v>64</v>
      </c>
      <c r="L10" s="13" t="s">
        <v>65</v>
      </c>
      <c r="M10" s="13" t="s">
        <v>65</v>
      </c>
      <c r="N10" s="13" t="s">
        <v>65</v>
      </c>
      <c r="O10" s="14" t="s">
        <v>64</v>
      </c>
      <c r="R10" s="15"/>
      <c r="AC10">
        <f>9 / 10</f>
        <v>0.9</v>
      </c>
    </row>
    <row r="11" spans="1:29" ht="15" thickBot="1" x14ac:dyDescent="0.4">
      <c r="A11">
        <v>1</v>
      </c>
      <c r="B11" t="s">
        <v>18</v>
      </c>
      <c r="C11" t="s">
        <v>19</v>
      </c>
      <c r="R11" s="15"/>
      <c r="AC11">
        <f>9 / 10</f>
        <v>0.9</v>
      </c>
    </row>
    <row r="12" spans="1:29" ht="15" thickBot="1" x14ac:dyDescent="0.4">
      <c r="A12">
        <v>2</v>
      </c>
      <c r="B12" t="s">
        <v>18</v>
      </c>
      <c r="C12" t="s">
        <v>20</v>
      </c>
      <c r="D12" s="9" t="s">
        <v>62</v>
      </c>
      <c r="E12" s="3" t="s">
        <v>63</v>
      </c>
      <c r="F12" s="3" t="s">
        <v>64</v>
      </c>
      <c r="G12" s="3" t="s">
        <v>65</v>
      </c>
      <c r="H12" s="3" t="s">
        <v>65</v>
      </c>
      <c r="I12" s="3" t="s">
        <v>66</v>
      </c>
      <c r="J12" s="3" t="s">
        <v>64</v>
      </c>
      <c r="K12" s="3" t="s">
        <v>66</v>
      </c>
      <c r="L12" s="3" t="s">
        <v>66</v>
      </c>
      <c r="M12" s="3" t="s">
        <v>66</v>
      </c>
      <c r="N12" s="3" t="s">
        <v>65</v>
      </c>
      <c r="O12" s="4" t="s">
        <v>64</v>
      </c>
      <c r="P12">
        <v>50</v>
      </c>
      <c r="R12" s="15"/>
      <c r="AC12">
        <f>4 / 10</f>
        <v>0.4</v>
      </c>
    </row>
    <row r="13" spans="1:29" ht="15" thickBot="1" x14ac:dyDescent="0.4">
      <c r="A13">
        <v>3</v>
      </c>
      <c r="B13" t="s">
        <v>18</v>
      </c>
      <c r="C13" t="s">
        <v>21</v>
      </c>
      <c r="R13" s="15"/>
      <c r="AC13">
        <f>9 / 10</f>
        <v>0.9</v>
      </c>
    </row>
    <row r="14" spans="1:29" ht="15" thickBot="1" x14ac:dyDescent="0.4">
      <c r="A14">
        <v>4</v>
      </c>
      <c r="B14" t="s">
        <v>22</v>
      </c>
      <c r="C14" t="s">
        <v>23</v>
      </c>
      <c r="R14" s="15"/>
      <c r="AC14">
        <f>2 / 10</f>
        <v>0.2</v>
      </c>
    </row>
    <row r="15" spans="1:29" ht="15" thickBot="1" x14ac:dyDescent="0.4">
      <c r="A15">
        <v>5</v>
      </c>
      <c r="B15" t="s">
        <v>18</v>
      </c>
      <c r="C15" t="s">
        <v>24</v>
      </c>
      <c r="D15" s="11" t="s">
        <v>69</v>
      </c>
      <c r="E15" s="7" t="s">
        <v>63</v>
      </c>
      <c r="F15" s="7" t="s">
        <v>64</v>
      </c>
      <c r="G15" s="7" t="s">
        <v>65</v>
      </c>
      <c r="H15" s="7" t="s">
        <v>66</v>
      </c>
      <c r="I15" s="7" t="s">
        <v>64</v>
      </c>
      <c r="J15" s="7" t="s">
        <v>65</v>
      </c>
      <c r="K15" s="7" t="s">
        <v>64</v>
      </c>
      <c r="L15" s="7" t="s">
        <v>65</v>
      </c>
      <c r="M15" s="7" t="s">
        <v>66</v>
      </c>
      <c r="N15" s="7" t="s">
        <v>66</v>
      </c>
      <c r="O15" s="8" t="s">
        <v>64</v>
      </c>
      <c r="P15">
        <v>50</v>
      </c>
      <c r="R15" s="15"/>
      <c r="AC15">
        <f>4 / 10</f>
        <v>0.4</v>
      </c>
    </row>
    <row r="16" spans="1:29" ht="15" thickBot="1" x14ac:dyDescent="0.4">
      <c r="A16">
        <v>6</v>
      </c>
      <c r="B16" t="s">
        <v>18</v>
      </c>
      <c r="C16" t="s">
        <v>25</v>
      </c>
      <c r="R16" s="15"/>
      <c r="AC16">
        <f>4 / 10</f>
        <v>0.4</v>
      </c>
    </row>
    <row r="17" spans="1:29" ht="15" thickBot="1" x14ac:dyDescent="0.4">
      <c r="A17">
        <v>7</v>
      </c>
      <c r="B17" t="s">
        <v>18</v>
      </c>
      <c r="C17" t="s">
        <v>26</v>
      </c>
      <c r="D17" s="10" t="s">
        <v>70</v>
      </c>
      <c r="E17" s="5" t="s">
        <v>63</v>
      </c>
      <c r="F17" s="5" t="s">
        <v>64</v>
      </c>
      <c r="G17" s="5" t="s">
        <v>65</v>
      </c>
      <c r="H17" s="5" t="s">
        <v>64</v>
      </c>
      <c r="I17" s="5" t="s">
        <v>66</v>
      </c>
      <c r="J17" s="5" t="s">
        <v>64</v>
      </c>
      <c r="K17" s="5" t="s">
        <v>66</v>
      </c>
      <c r="L17" s="5" t="s">
        <v>65</v>
      </c>
      <c r="M17" s="5" t="s">
        <v>66</v>
      </c>
      <c r="N17" s="5" t="s">
        <v>65</v>
      </c>
      <c r="O17" s="6" t="s">
        <v>65</v>
      </c>
      <c r="P17">
        <v>60</v>
      </c>
      <c r="R17" s="15"/>
      <c r="AC17">
        <f>10 / 10</f>
        <v>1</v>
      </c>
    </row>
    <row r="18" spans="1:29" ht="15" thickBot="1" x14ac:dyDescent="0.4">
      <c r="A18">
        <v>8</v>
      </c>
      <c r="B18" t="s">
        <v>18</v>
      </c>
      <c r="C18" t="s">
        <v>27</v>
      </c>
      <c r="D18" s="11" t="s">
        <v>71</v>
      </c>
      <c r="E18" s="7" t="s">
        <v>63</v>
      </c>
      <c r="F18" s="7" t="s">
        <v>65</v>
      </c>
      <c r="G18" s="7" t="s">
        <v>68</v>
      </c>
      <c r="H18" s="7" t="s">
        <v>65</v>
      </c>
      <c r="I18" s="7" t="s">
        <v>64</v>
      </c>
      <c r="J18" s="7" t="s">
        <v>66</v>
      </c>
      <c r="K18" s="7" t="s">
        <v>64</v>
      </c>
      <c r="L18" s="7" t="s">
        <v>66</v>
      </c>
      <c r="M18" s="7" t="s">
        <v>66</v>
      </c>
      <c r="N18" s="7" t="s">
        <v>64</v>
      </c>
      <c r="O18" s="8" t="s">
        <v>65</v>
      </c>
      <c r="P18">
        <v>20</v>
      </c>
      <c r="R18" s="15"/>
      <c r="AC18">
        <f>4 / 10</f>
        <v>0.4</v>
      </c>
    </row>
    <row r="19" spans="1:29" ht="15" thickBot="1" x14ac:dyDescent="0.4">
      <c r="A19">
        <v>9</v>
      </c>
      <c r="B19" t="s">
        <v>18</v>
      </c>
      <c r="C19" t="s">
        <v>28</v>
      </c>
      <c r="R19" s="15"/>
      <c r="AC19">
        <f>5 / 10</f>
        <v>0.5</v>
      </c>
    </row>
    <row r="20" spans="1:29" ht="15" thickBot="1" x14ac:dyDescent="0.4">
      <c r="A20">
        <v>10</v>
      </c>
      <c r="B20" t="s">
        <v>18</v>
      </c>
      <c r="C20" t="s">
        <v>29</v>
      </c>
      <c r="D20" s="10" t="s">
        <v>72</v>
      </c>
      <c r="E20" s="5" t="s">
        <v>63</v>
      </c>
      <c r="F20" s="5" t="s">
        <v>64</v>
      </c>
      <c r="G20" s="5" t="s">
        <v>68</v>
      </c>
      <c r="H20" s="5" t="s">
        <v>64</v>
      </c>
      <c r="I20" s="5" t="s">
        <v>68</v>
      </c>
      <c r="J20" s="5" t="s">
        <v>65</v>
      </c>
      <c r="K20" s="5" t="s">
        <v>65</v>
      </c>
      <c r="L20" s="5" t="s">
        <v>65</v>
      </c>
      <c r="M20" s="5" t="s">
        <v>68</v>
      </c>
      <c r="N20" s="5" t="s">
        <v>64</v>
      </c>
      <c r="O20" s="6" t="s">
        <v>64</v>
      </c>
      <c r="P20">
        <v>40</v>
      </c>
      <c r="R20" s="15"/>
      <c r="AC20">
        <f>7 / 10</f>
        <v>0.7</v>
      </c>
    </row>
    <row r="21" spans="1:29" ht="15" thickBot="1" x14ac:dyDescent="0.4">
      <c r="A21">
        <v>11</v>
      </c>
      <c r="B21" t="s">
        <v>18</v>
      </c>
      <c r="C21" t="s">
        <v>30</v>
      </c>
      <c r="D21" s="11" t="s">
        <v>73</v>
      </c>
      <c r="E21" s="7" t="s">
        <v>63</v>
      </c>
      <c r="F21" s="7" t="s">
        <v>64</v>
      </c>
      <c r="G21" s="7" t="s">
        <v>65</v>
      </c>
      <c r="H21" s="7" t="s">
        <v>64</v>
      </c>
      <c r="I21" s="7" t="s">
        <v>66</v>
      </c>
      <c r="J21" s="7" t="s">
        <v>66</v>
      </c>
      <c r="K21" s="7" t="s">
        <v>64</v>
      </c>
      <c r="L21" s="7" t="s">
        <v>65</v>
      </c>
      <c r="M21" s="7" t="s">
        <v>65</v>
      </c>
      <c r="N21" s="7" t="s">
        <v>65</v>
      </c>
      <c r="O21" s="8" t="s">
        <v>64</v>
      </c>
      <c r="P21">
        <v>100</v>
      </c>
      <c r="R21" s="15"/>
      <c r="AC21">
        <f>3 / 10</f>
        <v>0.3</v>
      </c>
    </row>
    <row r="22" spans="1:29" ht="15" thickBot="1" x14ac:dyDescent="0.4">
      <c r="A22">
        <v>12</v>
      </c>
      <c r="B22" t="s">
        <v>18</v>
      </c>
      <c r="C22" t="s">
        <v>31</v>
      </c>
      <c r="D22" s="10" t="s">
        <v>74</v>
      </c>
      <c r="E22" s="5" t="s">
        <v>63</v>
      </c>
      <c r="F22" s="5" t="s">
        <v>64</v>
      </c>
      <c r="G22" s="5" t="s">
        <v>65</v>
      </c>
      <c r="H22" s="5" t="s">
        <v>64</v>
      </c>
      <c r="I22" s="5" t="s">
        <v>68</v>
      </c>
      <c r="J22" s="5" t="s">
        <v>65</v>
      </c>
      <c r="K22" s="5" t="s">
        <v>66</v>
      </c>
      <c r="L22" s="5" t="s">
        <v>64</v>
      </c>
      <c r="M22" s="5" t="s">
        <v>65</v>
      </c>
      <c r="N22" s="5" t="s">
        <v>65</v>
      </c>
      <c r="O22" s="6" t="s">
        <v>64</v>
      </c>
      <c r="P22">
        <v>60</v>
      </c>
      <c r="R22" s="15"/>
      <c r="AC22">
        <f>1 / 10</f>
        <v>0.1</v>
      </c>
    </row>
    <row r="23" spans="1:29" ht="15" thickBot="1" x14ac:dyDescent="0.4">
      <c r="A23">
        <v>13</v>
      </c>
      <c r="B23" t="s">
        <v>18</v>
      </c>
      <c r="C23" t="s">
        <v>32</v>
      </c>
      <c r="R23" s="15"/>
      <c r="AC23">
        <f>7 / 10</f>
        <v>0.7</v>
      </c>
    </row>
    <row r="24" spans="1:29" ht="15" thickBot="1" x14ac:dyDescent="0.4">
      <c r="A24">
        <v>14</v>
      </c>
      <c r="B24" t="s">
        <v>18</v>
      </c>
      <c r="C24" t="s">
        <v>33</v>
      </c>
      <c r="D24" s="11" t="s">
        <v>75</v>
      </c>
      <c r="E24" s="7" t="s">
        <v>63</v>
      </c>
      <c r="F24" s="7" t="s">
        <v>64</v>
      </c>
      <c r="G24" s="7" t="s">
        <v>65</v>
      </c>
      <c r="H24" s="7" t="s">
        <v>64</v>
      </c>
      <c r="I24" s="7" t="s">
        <v>66</v>
      </c>
      <c r="J24" s="7" t="s">
        <v>66</v>
      </c>
      <c r="K24" s="7" t="s">
        <v>64</v>
      </c>
      <c r="L24" s="7" t="s">
        <v>65</v>
      </c>
      <c r="M24" s="7" t="s">
        <v>65</v>
      </c>
      <c r="N24" s="7" t="s">
        <v>66</v>
      </c>
      <c r="O24" s="8" t="s">
        <v>65</v>
      </c>
      <c r="P24">
        <v>80</v>
      </c>
      <c r="R24" s="15"/>
      <c r="AC24">
        <f>4 / 10</f>
        <v>0.4</v>
      </c>
    </row>
    <row r="25" spans="1:29" ht="15" thickBot="1" x14ac:dyDescent="0.4">
      <c r="A25">
        <v>15</v>
      </c>
      <c r="B25" t="s">
        <v>18</v>
      </c>
      <c r="C25" t="s">
        <v>34</v>
      </c>
      <c r="D25" s="10" t="s">
        <v>76</v>
      </c>
      <c r="E25" s="5" t="s">
        <v>63</v>
      </c>
      <c r="F25" s="5" t="s">
        <v>64</v>
      </c>
      <c r="G25" s="5" t="s">
        <v>65</v>
      </c>
      <c r="H25" s="5" t="s">
        <v>64</v>
      </c>
      <c r="I25" s="5" t="s">
        <v>66</v>
      </c>
      <c r="J25" s="5" t="s">
        <v>65</v>
      </c>
      <c r="K25" s="5" t="s">
        <v>66</v>
      </c>
      <c r="L25" s="5" t="s">
        <v>65</v>
      </c>
      <c r="M25" s="5" t="s">
        <v>68</v>
      </c>
      <c r="N25" s="5" t="s">
        <v>65</v>
      </c>
      <c r="O25" s="6" t="s">
        <v>64</v>
      </c>
      <c r="P25">
        <v>70</v>
      </c>
      <c r="R25" s="15"/>
      <c r="AC25">
        <f>3 / 10</f>
        <v>0.3</v>
      </c>
    </row>
    <row r="26" spans="1:29" ht="15" thickBot="1" x14ac:dyDescent="0.4">
      <c r="A26">
        <v>16</v>
      </c>
      <c r="B26" t="s">
        <v>18</v>
      </c>
      <c r="C26" t="s">
        <v>35</v>
      </c>
      <c r="D26" s="11" t="s">
        <v>77</v>
      </c>
      <c r="E26" s="7" t="s">
        <v>63</v>
      </c>
      <c r="F26" s="7" t="s">
        <v>64</v>
      </c>
      <c r="G26" s="7" t="s">
        <v>65</v>
      </c>
      <c r="H26" s="7" t="s">
        <v>64</v>
      </c>
      <c r="I26" s="7" t="s">
        <v>66</v>
      </c>
      <c r="J26" s="7" t="s">
        <v>66</v>
      </c>
      <c r="K26" s="7" t="s">
        <v>64</v>
      </c>
      <c r="L26" s="7" t="s">
        <v>65</v>
      </c>
      <c r="M26" s="7" t="s">
        <v>65</v>
      </c>
      <c r="N26" s="7" t="s">
        <v>65</v>
      </c>
      <c r="O26" s="8" t="s">
        <v>65</v>
      </c>
      <c r="P26">
        <v>90</v>
      </c>
      <c r="R26" s="15"/>
      <c r="AC26">
        <f>2 / 10</f>
        <v>0.2</v>
      </c>
    </row>
    <row r="27" spans="1:29" ht="15" thickBot="1" x14ac:dyDescent="0.4">
      <c r="A27">
        <v>17</v>
      </c>
      <c r="B27" t="s">
        <v>18</v>
      </c>
      <c r="C27" t="s">
        <v>36</v>
      </c>
      <c r="D27" s="10" t="s">
        <v>78</v>
      </c>
      <c r="E27" s="5" t="s">
        <v>63</v>
      </c>
      <c r="F27" s="5" t="s">
        <v>64</v>
      </c>
      <c r="G27" s="5" t="s">
        <v>65</v>
      </c>
      <c r="H27" s="5" t="s">
        <v>64</v>
      </c>
      <c r="I27" s="5" t="s">
        <v>66</v>
      </c>
      <c r="J27" s="5" t="s">
        <v>64</v>
      </c>
      <c r="K27" s="5" t="s">
        <v>64</v>
      </c>
      <c r="L27" s="5" t="s">
        <v>68</v>
      </c>
      <c r="M27" s="5" t="s">
        <v>64</v>
      </c>
      <c r="N27" s="5" t="s">
        <v>66</v>
      </c>
      <c r="O27" s="6" t="s">
        <v>68</v>
      </c>
      <c r="P27">
        <v>50</v>
      </c>
      <c r="R27" s="15"/>
      <c r="AC27">
        <f>7 / 10</f>
        <v>0.7</v>
      </c>
    </row>
    <row r="28" spans="1:29" ht="15" thickBot="1" x14ac:dyDescent="0.4">
      <c r="A28">
        <v>18</v>
      </c>
      <c r="B28" t="s">
        <v>18</v>
      </c>
      <c r="C28" t="s">
        <v>37</v>
      </c>
      <c r="R28" s="15"/>
      <c r="AC28">
        <f>8 / 10</f>
        <v>0.8</v>
      </c>
    </row>
    <row r="29" spans="1:29" ht="15" thickBot="1" x14ac:dyDescent="0.4">
      <c r="A29">
        <v>19</v>
      </c>
      <c r="B29" t="s">
        <v>18</v>
      </c>
      <c r="C29" t="s">
        <v>38</v>
      </c>
      <c r="D29" s="10" t="s">
        <v>80</v>
      </c>
      <c r="E29" s="5" t="s">
        <v>63</v>
      </c>
      <c r="F29" s="5" t="s">
        <v>64</v>
      </c>
      <c r="G29" s="5" t="s">
        <v>65</v>
      </c>
      <c r="H29" s="5" t="s">
        <v>64</v>
      </c>
      <c r="I29" s="5" t="s">
        <v>66</v>
      </c>
      <c r="J29" s="5" t="s">
        <v>65</v>
      </c>
      <c r="K29" s="5" t="s">
        <v>64</v>
      </c>
      <c r="L29" s="5" t="s">
        <v>66</v>
      </c>
      <c r="M29" s="5" t="s">
        <v>65</v>
      </c>
      <c r="N29" s="5" t="s">
        <v>65</v>
      </c>
      <c r="O29" s="6" t="s">
        <v>64</v>
      </c>
      <c r="P29">
        <v>80</v>
      </c>
      <c r="R29" s="15"/>
      <c r="AC29">
        <f>7 / 10</f>
        <v>0.7</v>
      </c>
    </row>
    <row r="30" spans="1:29" ht="15" thickBot="1" x14ac:dyDescent="0.4">
      <c r="A30">
        <v>20</v>
      </c>
      <c r="B30" t="s">
        <v>18</v>
      </c>
      <c r="C30" t="s">
        <v>39</v>
      </c>
      <c r="R30" s="15"/>
      <c r="AC30">
        <f>6 / 10</f>
        <v>0.6</v>
      </c>
    </row>
    <row r="31" spans="1:29" ht="15" thickBot="1" x14ac:dyDescent="0.4">
      <c r="A31">
        <v>21</v>
      </c>
      <c r="B31" t="s">
        <v>18</v>
      </c>
      <c r="C31" t="s">
        <v>40</v>
      </c>
      <c r="R31" s="15"/>
      <c r="AC31">
        <f>2 / 10</f>
        <v>0.2</v>
      </c>
    </row>
    <row r="32" spans="1:29" ht="15" thickBot="1" x14ac:dyDescent="0.4">
      <c r="A32">
        <v>22</v>
      </c>
      <c r="B32" t="s">
        <v>18</v>
      </c>
      <c r="C32" t="s">
        <v>41</v>
      </c>
      <c r="R32" s="15"/>
      <c r="AC32">
        <f>5 / 10</f>
        <v>0.5</v>
      </c>
    </row>
    <row r="33" spans="1:29" ht="15" thickBot="1" x14ac:dyDescent="0.4">
      <c r="A33">
        <v>23</v>
      </c>
      <c r="B33" t="s">
        <v>18</v>
      </c>
      <c r="C33" t="s">
        <v>42</v>
      </c>
      <c r="R33" s="15"/>
      <c r="AC33">
        <f>9 / 10</f>
        <v>0.9</v>
      </c>
    </row>
    <row r="34" spans="1:29" ht="15" thickBot="1" x14ac:dyDescent="0.4">
      <c r="A34">
        <v>24</v>
      </c>
      <c r="B34" t="s">
        <v>18</v>
      </c>
      <c r="C34" t="s">
        <v>43</v>
      </c>
      <c r="R34" s="15"/>
      <c r="AC34">
        <f>10 / 10</f>
        <v>1</v>
      </c>
    </row>
    <row r="35" spans="1:29" ht="15" thickBot="1" x14ac:dyDescent="0.4">
      <c r="A35">
        <v>25</v>
      </c>
      <c r="B35" t="s">
        <v>22</v>
      </c>
      <c r="C35" t="s">
        <v>44</v>
      </c>
      <c r="R35" s="15"/>
      <c r="AC35">
        <f>3 / 10</f>
        <v>0.3</v>
      </c>
    </row>
    <row r="36" spans="1:29" ht="15" thickBot="1" x14ac:dyDescent="0.4">
      <c r="A36">
        <v>26</v>
      </c>
      <c r="B36" t="s">
        <v>18</v>
      </c>
      <c r="C36" t="s">
        <v>45</v>
      </c>
      <c r="R36" s="15"/>
      <c r="AC36">
        <f>6 / 10</f>
        <v>0.6</v>
      </c>
    </row>
    <row r="37" spans="1:29" ht="15" thickBot="1" x14ac:dyDescent="0.4">
      <c r="A37">
        <v>27</v>
      </c>
      <c r="B37" t="s">
        <v>18</v>
      </c>
      <c r="C37" t="s">
        <v>46</v>
      </c>
      <c r="D37" s="10" t="s">
        <v>84</v>
      </c>
      <c r="E37" s="5" t="s">
        <v>63</v>
      </c>
      <c r="F37" s="5" t="s">
        <v>64</v>
      </c>
      <c r="G37" s="5" t="s">
        <v>66</v>
      </c>
      <c r="H37" s="5" t="s">
        <v>64</v>
      </c>
      <c r="I37" s="5" t="s">
        <v>66</v>
      </c>
      <c r="J37" s="5" t="s">
        <v>66</v>
      </c>
      <c r="K37" s="5" t="s">
        <v>64</v>
      </c>
      <c r="L37" s="5" t="s">
        <v>66</v>
      </c>
      <c r="M37" s="5" t="s">
        <v>65</v>
      </c>
      <c r="N37" s="5" t="s">
        <v>65</v>
      </c>
      <c r="O37" s="6" t="s">
        <v>64</v>
      </c>
      <c r="P37">
        <v>80</v>
      </c>
    </row>
    <row r="38" spans="1:29" ht="15" thickBot="1" x14ac:dyDescent="0.4">
      <c r="A38">
        <v>28</v>
      </c>
      <c r="B38" t="s">
        <v>18</v>
      </c>
      <c r="C38" t="s">
        <v>47</v>
      </c>
      <c r="D38" s="11" t="s">
        <v>85</v>
      </c>
      <c r="E38" s="7" t="s">
        <v>63</v>
      </c>
      <c r="F38" s="7" t="s">
        <v>64</v>
      </c>
      <c r="G38" s="7" t="s">
        <v>66</v>
      </c>
      <c r="H38" s="7" t="s">
        <v>64</v>
      </c>
      <c r="I38" s="7" t="s">
        <v>66</v>
      </c>
      <c r="J38" s="7" t="s">
        <v>66</v>
      </c>
      <c r="K38" s="7" t="s">
        <v>64</v>
      </c>
      <c r="L38" s="7" t="s">
        <v>65</v>
      </c>
      <c r="M38" s="7" t="s">
        <v>65</v>
      </c>
      <c r="N38" s="7" t="s">
        <v>65</v>
      </c>
      <c r="O38" s="8" t="s">
        <v>64</v>
      </c>
      <c r="P38">
        <v>90</v>
      </c>
    </row>
    <row r="39" spans="1:29" ht="15" thickBot="1" x14ac:dyDescent="0.4">
      <c r="A39">
        <v>29</v>
      </c>
      <c r="B39" t="s">
        <v>18</v>
      </c>
      <c r="C39" t="s">
        <v>48</v>
      </c>
      <c r="D39" s="11" t="s">
        <v>87</v>
      </c>
      <c r="E39" s="7" t="s">
        <v>63</v>
      </c>
      <c r="F39" s="7" t="s">
        <v>64</v>
      </c>
      <c r="G39" s="7" t="s">
        <v>65</v>
      </c>
      <c r="H39" s="7" t="s">
        <v>64</v>
      </c>
      <c r="I39" s="7" t="s">
        <v>66</v>
      </c>
      <c r="J39" s="7" t="s">
        <v>66</v>
      </c>
      <c r="K39" s="7" t="s">
        <v>64</v>
      </c>
      <c r="L39" s="7" t="s">
        <v>65</v>
      </c>
      <c r="M39" s="7" t="s">
        <v>65</v>
      </c>
      <c r="N39" s="7" t="s">
        <v>65</v>
      </c>
      <c r="O39" s="8" t="s">
        <v>64</v>
      </c>
      <c r="P39">
        <v>100</v>
      </c>
    </row>
    <row r="40" spans="1:29" x14ac:dyDescent="0.35">
      <c r="A40">
        <v>30</v>
      </c>
      <c r="B40" t="s">
        <v>18</v>
      </c>
      <c r="C40" t="s">
        <v>49</v>
      </c>
    </row>
    <row r="41" spans="1:29" x14ac:dyDescent="0.35">
      <c r="A41">
        <v>31</v>
      </c>
      <c r="B41" t="s">
        <v>22</v>
      </c>
      <c r="C41" t="s">
        <v>50</v>
      </c>
    </row>
    <row r="42" spans="1:29" ht="15" thickBot="1" x14ac:dyDescent="0.4">
      <c r="A42">
        <v>32</v>
      </c>
      <c r="B42" t="s">
        <v>18</v>
      </c>
      <c r="C42" t="s">
        <v>51</v>
      </c>
    </row>
    <row r="43" spans="1:29" ht="15" thickBot="1" x14ac:dyDescent="0.4">
      <c r="A43">
        <v>33</v>
      </c>
      <c r="B43" t="s">
        <v>18</v>
      </c>
      <c r="C43" t="s">
        <v>52</v>
      </c>
      <c r="D43" s="10" t="s">
        <v>88</v>
      </c>
      <c r="E43" s="5" t="s">
        <v>63</v>
      </c>
      <c r="F43" s="5" t="s">
        <v>64</v>
      </c>
      <c r="G43" s="5" t="s">
        <v>65</v>
      </c>
      <c r="H43" s="5" t="s">
        <v>64</v>
      </c>
      <c r="I43" s="5" t="s">
        <v>66</v>
      </c>
      <c r="J43" s="5" t="s">
        <v>66</v>
      </c>
      <c r="K43" s="5" t="s">
        <v>64</v>
      </c>
      <c r="L43" s="5" t="s">
        <v>65</v>
      </c>
      <c r="M43" s="5" t="s">
        <v>65</v>
      </c>
      <c r="N43" s="5" t="s">
        <v>65</v>
      </c>
      <c r="O43" s="6" t="s">
        <v>64</v>
      </c>
    </row>
    <row r="44" spans="1:29" ht="15" thickBot="1" x14ac:dyDescent="0.4">
      <c r="A44">
        <v>34</v>
      </c>
      <c r="B44" t="s">
        <v>22</v>
      </c>
      <c r="C44" t="s">
        <v>53</v>
      </c>
    </row>
    <row r="45" spans="1:29" ht="15" thickBot="1" x14ac:dyDescent="0.4">
      <c r="A45">
        <v>35</v>
      </c>
      <c r="B45" t="s">
        <v>18</v>
      </c>
      <c r="C45" t="s">
        <v>54</v>
      </c>
      <c r="D45" s="10" t="s">
        <v>82</v>
      </c>
      <c r="E45" s="5" t="s">
        <v>63</v>
      </c>
      <c r="F45" s="5" t="s">
        <v>64</v>
      </c>
      <c r="G45" s="5" t="s">
        <v>65</v>
      </c>
      <c r="H45" s="5" t="s">
        <v>64</v>
      </c>
      <c r="I45" s="5" t="s">
        <v>66</v>
      </c>
      <c r="J45" s="5" t="s">
        <v>66</v>
      </c>
      <c r="K45" s="5" t="s">
        <v>64</v>
      </c>
      <c r="L45" s="5" t="s">
        <v>66</v>
      </c>
      <c r="M45" s="5" t="s">
        <v>65</v>
      </c>
      <c r="N45" s="5" t="s">
        <v>65</v>
      </c>
      <c r="O45" s="6" t="s">
        <v>64</v>
      </c>
      <c r="P45">
        <v>90</v>
      </c>
    </row>
    <row r="46" spans="1:29" ht="15" thickBot="1" x14ac:dyDescent="0.4">
      <c r="A46">
        <v>36</v>
      </c>
      <c r="B46" t="s">
        <v>22</v>
      </c>
      <c r="C46" t="s">
        <v>55</v>
      </c>
    </row>
    <row r="47" spans="1:29" ht="15" thickBot="1" x14ac:dyDescent="0.4">
      <c r="A47">
        <v>37</v>
      </c>
      <c r="B47" t="s">
        <v>18</v>
      </c>
      <c r="C47" t="s">
        <v>56</v>
      </c>
      <c r="D47" s="11" t="s">
        <v>83</v>
      </c>
      <c r="E47" s="7" t="s">
        <v>63</v>
      </c>
      <c r="F47" s="7" t="s">
        <v>64</v>
      </c>
      <c r="G47" s="7" t="s">
        <v>66</v>
      </c>
      <c r="H47" s="7" t="s">
        <v>64</v>
      </c>
      <c r="I47" s="7" t="s">
        <v>66</v>
      </c>
      <c r="J47" s="7" t="s">
        <v>66</v>
      </c>
      <c r="K47" s="7" t="s">
        <v>64</v>
      </c>
      <c r="L47" s="7" t="s">
        <v>66</v>
      </c>
      <c r="M47" s="7" t="s">
        <v>65</v>
      </c>
      <c r="N47" s="7" t="s">
        <v>65</v>
      </c>
      <c r="O47" s="8" t="s">
        <v>64</v>
      </c>
      <c r="P47">
        <v>80</v>
      </c>
    </row>
    <row r="48" spans="1:29" ht="15" thickBot="1" x14ac:dyDescent="0.4">
      <c r="A48">
        <v>38</v>
      </c>
      <c r="B48" t="s">
        <v>18</v>
      </c>
      <c r="C48" t="s">
        <v>57</v>
      </c>
      <c r="D48" s="11" t="s">
        <v>79</v>
      </c>
      <c r="E48" s="7" t="s">
        <v>63</v>
      </c>
      <c r="F48" s="7" t="s">
        <v>66</v>
      </c>
      <c r="G48" s="7" t="s">
        <v>66</v>
      </c>
      <c r="H48" s="7" t="s">
        <v>64</v>
      </c>
      <c r="I48" s="7" t="s">
        <v>65</v>
      </c>
      <c r="J48" s="7" t="s">
        <v>65</v>
      </c>
      <c r="K48" s="7" t="s">
        <v>64</v>
      </c>
      <c r="L48" s="7" t="s">
        <v>65</v>
      </c>
      <c r="M48" s="7" t="s">
        <v>65</v>
      </c>
      <c r="N48" s="7" t="s">
        <v>66</v>
      </c>
      <c r="O48" s="8" t="s">
        <v>65</v>
      </c>
      <c r="P48">
        <v>40</v>
      </c>
    </row>
    <row r="49" spans="1:16" ht="15" thickBot="1" x14ac:dyDescent="0.4">
      <c r="A49">
        <v>39</v>
      </c>
      <c r="B49" t="s">
        <v>18</v>
      </c>
      <c r="C49" t="s">
        <v>58</v>
      </c>
      <c r="P49">
        <v>100</v>
      </c>
    </row>
    <row r="50" spans="1:16" ht="15" thickBot="1" x14ac:dyDescent="0.4">
      <c r="A50">
        <v>40</v>
      </c>
      <c r="B50" t="s">
        <v>18</v>
      </c>
      <c r="C50" t="s">
        <v>59</v>
      </c>
      <c r="D50" s="10" t="s">
        <v>86</v>
      </c>
      <c r="E50" s="5" t="s">
        <v>63</v>
      </c>
      <c r="F50" s="5" t="s">
        <v>66</v>
      </c>
      <c r="G50" s="5" t="s">
        <v>64</v>
      </c>
      <c r="H50" s="5" t="s">
        <v>64</v>
      </c>
      <c r="I50" s="5" t="s">
        <v>68</v>
      </c>
      <c r="J50" s="5" t="s">
        <v>66</v>
      </c>
      <c r="K50" s="5" t="s">
        <v>68</v>
      </c>
      <c r="L50" s="5" t="s">
        <v>66</v>
      </c>
      <c r="M50" s="5" t="s">
        <v>65</v>
      </c>
      <c r="N50" s="5" t="s">
        <v>65</v>
      </c>
      <c r="O50" s="6" t="s">
        <v>65</v>
      </c>
    </row>
    <row r="51" spans="1:16" ht="15" thickBot="1" x14ac:dyDescent="0.4">
      <c r="A51">
        <v>41</v>
      </c>
      <c r="B51" t="s">
        <v>18</v>
      </c>
      <c r="C51" t="s">
        <v>60</v>
      </c>
      <c r="D51" s="10" t="s">
        <v>67</v>
      </c>
      <c r="E51" s="5" t="s">
        <v>63</v>
      </c>
      <c r="F51" s="5" t="s">
        <v>64</v>
      </c>
      <c r="G51" s="5" t="s">
        <v>65</v>
      </c>
      <c r="H51" s="5" t="s">
        <v>64</v>
      </c>
      <c r="I51" s="5" t="s">
        <v>66</v>
      </c>
      <c r="J51" s="5" t="s">
        <v>68</v>
      </c>
      <c r="K51" s="5" t="s">
        <v>64</v>
      </c>
      <c r="L51" s="5" t="s">
        <v>65</v>
      </c>
      <c r="M51" s="5" t="s">
        <v>65</v>
      </c>
      <c r="N51" s="5" t="s">
        <v>65</v>
      </c>
      <c r="O51" s="6" t="s">
        <v>64</v>
      </c>
    </row>
    <row r="52" spans="1:16" ht="15" thickBot="1" x14ac:dyDescent="0.4">
      <c r="A52">
        <v>42</v>
      </c>
      <c r="B52" t="s">
        <v>18</v>
      </c>
      <c r="C52" t="s">
        <v>61</v>
      </c>
      <c r="D52" s="11" t="s">
        <v>81</v>
      </c>
      <c r="E52" s="7" t="s">
        <v>63</v>
      </c>
      <c r="F52" s="7" t="s">
        <v>65</v>
      </c>
      <c r="G52" s="7" t="s">
        <v>66</v>
      </c>
      <c r="H52" s="7" t="s">
        <v>66</v>
      </c>
      <c r="I52" s="7" t="s">
        <v>68</v>
      </c>
      <c r="J52" s="7" t="s">
        <v>65</v>
      </c>
      <c r="K52" s="7" t="s">
        <v>68</v>
      </c>
      <c r="L52" s="7" t="s">
        <v>64</v>
      </c>
      <c r="M52" s="7" t="s">
        <v>66</v>
      </c>
      <c r="N52" s="7" t="s">
        <v>66</v>
      </c>
      <c r="O52" s="8" t="s">
        <v>64</v>
      </c>
      <c r="P52" s="8">
        <v>10</v>
      </c>
    </row>
    <row r="53" spans="1:16" ht="15" thickBot="1" x14ac:dyDescent="0.4"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6"/>
    </row>
    <row r="54" spans="1:16" ht="15" thickBot="1" x14ac:dyDescent="0.4">
      <c r="E54" s="11"/>
      <c r="F54" s="7"/>
      <c r="G54" s="7"/>
      <c r="H54" s="7"/>
      <c r="I54" s="7"/>
      <c r="J54" s="7"/>
      <c r="K54" s="7"/>
      <c r="L54" s="7"/>
      <c r="M54" s="7"/>
      <c r="N54" s="7"/>
      <c r="O54" s="7"/>
      <c r="P54" s="8"/>
    </row>
    <row r="55" spans="1:16" ht="15" thickBot="1" x14ac:dyDescent="0.4"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6"/>
    </row>
    <row r="56" spans="1:16" ht="15" thickBot="1" x14ac:dyDescent="0.4">
      <c r="E56" s="11"/>
      <c r="F56" s="7"/>
      <c r="G56" s="7"/>
      <c r="H56" s="7"/>
      <c r="I56" s="7"/>
      <c r="J56" s="7"/>
      <c r="K56" s="7"/>
      <c r="L56" s="7"/>
      <c r="M56" s="7"/>
      <c r="N56" s="7"/>
      <c r="O56" s="7"/>
      <c r="P56" s="8"/>
    </row>
    <row r="57" spans="1:16" ht="15" thickBot="1" x14ac:dyDescent="0.4"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spans="1:16" ht="15" thickBot="1" x14ac:dyDescent="0.4">
      <c r="E58" s="11"/>
      <c r="F58" s="7"/>
      <c r="G58" s="7"/>
      <c r="H58" s="7"/>
      <c r="I58" s="7"/>
      <c r="J58" s="7"/>
      <c r="K58" s="7"/>
      <c r="L58" s="7"/>
      <c r="M58" s="7"/>
      <c r="N58" s="7"/>
      <c r="O58" s="7"/>
      <c r="P58" s="8"/>
    </row>
    <row r="59" spans="1:16" ht="15" thickBot="1" x14ac:dyDescent="0.4"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6"/>
    </row>
  </sheetData>
  <mergeCells count="1">
    <mergeCell ref="A1:W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3826-A677-40DF-98E8-50AAEFC8D851}">
  <dimension ref="A1:AA59"/>
  <sheetViews>
    <sheetView tabSelected="1" topLeftCell="B2" workbookViewId="0">
      <selection activeCell="O18" sqref="O18"/>
    </sheetView>
  </sheetViews>
  <sheetFormatPr defaultRowHeight="14.5" x14ac:dyDescent="0.35"/>
  <cols>
    <col min="1" max="1" width="13.6328125" bestFit="1" customWidth="1"/>
    <col min="2" max="2" width="22.36328125" bestFit="1" customWidth="1"/>
    <col min="3" max="3" width="39.54296875" bestFit="1" customWidth="1"/>
    <col min="4" max="13" width="2" bestFit="1" customWidth="1"/>
    <col min="14" max="14" width="9.1796875" customWidth="1"/>
    <col min="15" max="15" width="30" bestFit="1" customWidth="1"/>
    <col min="16" max="16" width="5.81640625" bestFit="1" customWidth="1"/>
    <col min="17" max="26" width="2" bestFit="1" customWidth="1"/>
  </cols>
  <sheetData>
    <row r="1" spans="1:27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t="s">
        <v>1</v>
      </c>
      <c r="B2" t="s">
        <v>2</v>
      </c>
    </row>
    <row r="3" spans="1:27" x14ac:dyDescent="0.35">
      <c r="A3" t="s">
        <v>3</v>
      </c>
      <c r="B3" t="s">
        <v>4</v>
      </c>
    </row>
    <row r="4" spans="1:27" x14ac:dyDescent="0.35">
      <c r="A4" t="s">
        <v>5</v>
      </c>
      <c r="B4" t="s">
        <v>6</v>
      </c>
    </row>
    <row r="5" spans="1:27" x14ac:dyDescent="0.35">
      <c r="A5" t="s">
        <v>7</v>
      </c>
      <c r="B5" t="s">
        <v>8</v>
      </c>
    </row>
    <row r="6" spans="1:27" x14ac:dyDescent="0.35">
      <c r="A6" t="s">
        <v>9</v>
      </c>
      <c r="B6" t="s">
        <v>10</v>
      </c>
    </row>
    <row r="7" spans="1:27" x14ac:dyDescent="0.35">
      <c r="A7" t="s">
        <v>11</v>
      </c>
      <c r="B7" t="s">
        <v>12</v>
      </c>
    </row>
    <row r="8" spans="1:27" x14ac:dyDescent="0.35">
      <c r="A8" t="s">
        <v>13</v>
      </c>
      <c r="B8" t="s">
        <v>14</v>
      </c>
    </row>
    <row r="9" spans="1:27" ht="15" thickBot="1" x14ac:dyDescent="0.4"/>
    <row r="10" spans="1:27" ht="15" thickBot="1" x14ac:dyDescent="0.4">
      <c r="A10" s="2" t="s">
        <v>15</v>
      </c>
      <c r="B10" s="2" t="s">
        <v>16</v>
      </c>
      <c r="C10" s="2" t="s">
        <v>17</v>
      </c>
      <c r="D10" s="12" t="s">
        <v>64</v>
      </c>
      <c r="E10" s="13" t="s">
        <v>65</v>
      </c>
      <c r="F10" s="13" t="s">
        <v>64</v>
      </c>
      <c r="G10" s="13" t="s">
        <v>66</v>
      </c>
      <c r="H10" s="13" t="s">
        <v>66</v>
      </c>
      <c r="I10" s="13" t="s">
        <v>64</v>
      </c>
      <c r="J10" s="13" t="s">
        <v>65</v>
      </c>
      <c r="K10" s="13" t="s">
        <v>65</v>
      </c>
      <c r="L10" s="13" t="s">
        <v>65</v>
      </c>
      <c r="M10" s="14" t="s">
        <v>64</v>
      </c>
      <c r="P10" s="15"/>
      <c r="AA10">
        <f>9 / 10</f>
        <v>0.9</v>
      </c>
    </row>
    <row r="11" spans="1:27" ht="15" thickBot="1" x14ac:dyDescent="0.4">
      <c r="A11">
        <v>1</v>
      </c>
      <c r="B11" t="s">
        <v>18</v>
      </c>
      <c r="C11" t="s">
        <v>19</v>
      </c>
      <c r="P11" s="15"/>
      <c r="AA11">
        <f>9 / 10</f>
        <v>0.9</v>
      </c>
    </row>
    <row r="12" spans="1:27" ht="15" thickBot="1" x14ac:dyDescent="0.4">
      <c r="A12">
        <v>2</v>
      </c>
      <c r="B12" t="s">
        <v>18</v>
      </c>
      <c r="C12" t="s">
        <v>20</v>
      </c>
      <c r="D12" s="3" t="s">
        <v>64</v>
      </c>
      <c r="E12" s="3" t="s">
        <v>65</v>
      </c>
      <c r="F12" s="3" t="s">
        <v>65</v>
      </c>
      <c r="G12" s="3" t="s">
        <v>66</v>
      </c>
      <c r="H12" s="3" t="s">
        <v>64</v>
      </c>
      <c r="I12" s="3" t="s">
        <v>66</v>
      </c>
      <c r="J12" s="3" t="s">
        <v>66</v>
      </c>
      <c r="K12" s="3" t="s">
        <v>66</v>
      </c>
      <c r="L12" s="3" t="s">
        <v>65</v>
      </c>
      <c r="M12" s="4" t="s">
        <v>64</v>
      </c>
      <c r="N12">
        <v>50</v>
      </c>
      <c r="P12" s="15"/>
      <c r="AA12">
        <f>4 / 10</f>
        <v>0.4</v>
      </c>
    </row>
    <row r="13" spans="1:27" ht="15" thickBot="1" x14ac:dyDescent="0.4">
      <c r="A13">
        <v>3</v>
      </c>
      <c r="B13" t="s">
        <v>18</v>
      </c>
      <c r="C13" t="s">
        <v>21</v>
      </c>
      <c r="P13" s="15"/>
      <c r="AA13">
        <f>9 / 10</f>
        <v>0.9</v>
      </c>
    </row>
    <row r="14" spans="1:27" ht="15" thickBot="1" x14ac:dyDescent="0.4">
      <c r="A14">
        <v>4</v>
      </c>
      <c r="B14" t="s">
        <v>22</v>
      </c>
      <c r="C14" t="s">
        <v>23</v>
      </c>
      <c r="P14" s="15"/>
      <c r="AA14">
        <f>2 / 10</f>
        <v>0.2</v>
      </c>
    </row>
    <row r="15" spans="1:27" ht="15" thickBot="1" x14ac:dyDescent="0.4">
      <c r="A15">
        <v>5</v>
      </c>
      <c r="B15" t="s">
        <v>18</v>
      </c>
      <c r="C15" t="s">
        <v>24</v>
      </c>
      <c r="D15" s="7" t="s">
        <v>64</v>
      </c>
      <c r="E15" s="7" t="s">
        <v>65</v>
      </c>
      <c r="F15" s="7" t="s">
        <v>66</v>
      </c>
      <c r="G15" s="7" t="s">
        <v>64</v>
      </c>
      <c r="H15" s="7" t="s">
        <v>65</v>
      </c>
      <c r="I15" s="7" t="s">
        <v>64</v>
      </c>
      <c r="J15" s="7" t="s">
        <v>65</v>
      </c>
      <c r="K15" s="7" t="s">
        <v>66</v>
      </c>
      <c r="L15" s="7" t="s">
        <v>66</v>
      </c>
      <c r="M15" s="8" t="s">
        <v>64</v>
      </c>
      <c r="N15">
        <v>50</v>
      </c>
      <c r="P15" s="15"/>
      <c r="AA15">
        <f>4 / 10</f>
        <v>0.4</v>
      </c>
    </row>
    <row r="16" spans="1:27" ht="15" thickBot="1" x14ac:dyDescent="0.4">
      <c r="A16">
        <v>6</v>
      </c>
      <c r="B16" t="s">
        <v>18</v>
      </c>
      <c r="C16" t="s">
        <v>25</v>
      </c>
      <c r="P16" s="15"/>
      <c r="AA16">
        <f>4 / 10</f>
        <v>0.4</v>
      </c>
    </row>
    <row r="17" spans="1:27" ht="15" thickBot="1" x14ac:dyDescent="0.4">
      <c r="A17">
        <v>7</v>
      </c>
      <c r="B17" t="s">
        <v>18</v>
      </c>
      <c r="C17" t="s">
        <v>26</v>
      </c>
      <c r="D17" s="5" t="s">
        <v>64</v>
      </c>
      <c r="E17" s="5" t="s">
        <v>65</v>
      </c>
      <c r="F17" s="5" t="s">
        <v>64</v>
      </c>
      <c r="G17" s="5" t="s">
        <v>66</v>
      </c>
      <c r="H17" s="5" t="s">
        <v>64</v>
      </c>
      <c r="I17" s="5" t="s">
        <v>66</v>
      </c>
      <c r="J17" s="5" t="s">
        <v>65</v>
      </c>
      <c r="K17" s="5" t="s">
        <v>66</v>
      </c>
      <c r="L17" s="5" t="s">
        <v>65</v>
      </c>
      <c r="M17" s="6" t="s">
        <v>65</v>
      </c>
      <c r="N17">
        <v>60</v>
      </c>
      <c r="P17" s="15"/>
      <c r="AA17">
        <f>10 / 10</f>
        <v>1</v>
      </c>
    </row>
    <row r="18" spans="1:27" ht="15" thickBot="1" x14ac:dyDescent="0.4">
      <c r="A18">
        <v>8</v>
      </c>
      <c r="B18" t="s">
        <v>18</v>
      </c>
      <c r="C18" t="s">
        <v>27</v>
      </c>
      <c r="D18" s="7" t="s">
        <v>65</v>
      </c>
      <c r="E18" s="7" t="s">
        <v>68</v>
      </c>
      <c r="F18" s="7" t="s">
        <v>65</v>
      </c>
      <c r="G18" s="7" t="s">
        <v>64</v>
      </c>
      <c r="H18" s="7" t="s">
        <v>66</v>
      </c>
      <c r="I18" s="7" t="s">
        <v>64</v>
      </c>
      <c r="J18" s="7" t="s">
        <v>66</v>
      </c>
      <c r="K18" s="7" t="s">
        <v>66</v>
      </c>
      <c r="L18" s="7" t="s">
        <v>64</v>
      </c>
      <c r="M18" s="8" t="s">
        <v>65</v>
      </c>
      <c r="N18">
        <v>20</v>
      </c>
      <c r="P18" s="15"/>
      <c r="AA18">
        <f>4 / 10</f>
        <v>0.4</v>
      </c>
    </row>
    <row r="19" spans="1:27" ht="15" thickBot="1" x14ac:dyDescent="0.4">
      <c r="A19">
        <v>9</v>
      </c>
      <c r="B19" t="s">
        <v>18</v>
      </c>
      <c r="C19" t="s">
        <v>28</v>
      </c>
      <c r="P19" s="15"/>
      <c r="AA19">
        <f>5 / 10</f>
        <v>0.5</v>
      </c>
    </row>
    <row r="20" spans="1:27" ht="15" thickBot="1" x14ac:dyDescent="0.4">
      <c r="A20">
        <v>10</v>
      </c>
      <c r="B20" t="s">
        <v>18</v>
      </c>
      <c r="C20" t="s">
        <v>29</v>
      </c>
      <c r="D20" s="5" t="s">
        <v>64</v>
      </c>
      <c r="E20" s="5" t="s">
        <v>68</v>
      </c>
      <c r="F20" s="5" t="s">
        <v>64</v>
      </c>
      <c r="G20" s="5" t="s">
        <v>68</v>
      </c>
      <c r="H20" s="5" t="s">
        <v>65</v>
      </c>
      <c r="I20" s="5" t="s">
        <v>65</v>
      </c>
      <c r="J20" s="5" t="s">
        <v>65</v>
      </c>
      <c r="K20" s="5" t="s">
        <v>68</v>
      </c>
      <c r="L20" s="5" t="s">
        <v>64</v>
      </c>
      <c r="M20" s="6" t="s">
        <v>64</v>
      </c>
      <c r="N20">
        <v>40</v>
      </c>
      <c r="P20" s="15"/>
      <c r="AA20">
        <f>7 / 10</f>
        <v>0.7</v>
      </c>
    </row>
    <row r="21" spans="1:27" ht="15" thickBot="1" x14ac:dyDescent="0.4">
      <c r="A21">
        <v>11</v>
      </c>
      <c r="B21" t="s">
        <v>18</v>
      </c>
      <c r="C21" t="s">
        <v>30</v>
      </c>
      <c r="D21" s="7" t="s">
        <v>64</v>
      </c>
      <c r="E21" s="7" t="s">
        <v>65</v>
      </c>
      <c r="F21" s="7" t="s">
        <v>64</v>
      </c>
      <c r="G21" s="7" t="s">
        <v>66</v>
      </c>
      <c r="H21" s="7" t="s">
        <v>66</v>
      </c>
      <c r="I21" s="7" t="s">
        <v>64</v>
      </c>
      <c r="J21" s="7" t="s">
        <v>65</v>
      </c>
      <c r="K21" s="7" t="s">
        <v>65</v>
      </c>
      <c r="L21" s="7" t="s">
        <v>65</v>
      </c>
      <c r="M21" s="8" t="s">
        <v>64</v>
      </c>
      <c r="N21">
        <v>100</v>
      </c>
      <c r="P21" s="15"/>
      <c r="AA21">
        <f>3 / 10</f>
        <v>0.3</v>
      </c>
    </row>
    <row r="22" spans="1:27" ht="15" thickBot="1" x14ac:dyDescent="0.4">
      <c r="A22">
        <v>12</v>
      </c>
      <c r="B22" t="s">
        <v>18</v>
      </c>
      <c r="C22" t="s">
        <v>31</v>
      </c>
      <c r="D22" s="5" t="s">
        <v>64</v>
      </c>
      <c r="E22" s="5" t="s">
        <v>65</v>
      </c>
      <c r="F22" s="5" t="s">
        <v>64</v>
      </c>
      <c r="G22" s="5" t="s">
        <v>68</v>
      </c>
      <c r="H22" s="5" t="s">
        <v>65</v>
      </c>
      <c r="I22" s="5" t="s">
        <v>66</v>
      </c>
      <c r="J22" s="5" t="s">
        <v>64</v>
      </c>
      <c r="K22" s="5" t="s">
        <v>65</v>
      </c>
      <c r="L22" s="5" t="s">
        <v>65</v>
      </c>
      <c r="M22" s="6" t="s">
        <v>64</v>
      </c>
      <c r="N22">
        <v>60</v>
      </c>
      <c r="P22" s="15"/>
      <c r="AA22">
        <f>1 / 10</f>
        <v>0.1</v>
      </c>
    </row>
    <row r="23" spans="1:27" ht="15" thickBot="1" x14ac:dyDescent="0.4">
      <c r="A23">
        <v>13</v>
      </c>
      <c r="B23" t="s">
        <v>18</v>
      </c>
      <c r="C23" t="s">
        <v>32</v>
      </c>
      <c r="P23" s="15"/>
      <c r="AA23">
        <f>7 / 10</f>
        <v>0.7</v>
      </c>
    </row>
    <row r="24" spans="1:27" ht="15" thickBot="1" x14ac:dyDescent="0.4">
      <c r="A24">
        <v>14</v>
      </c>
      <c r="B24" t="s">
        <v>18</v>
      </c>
      <c r="C24" t="s">
        <v>33</v>
      </c>
      <c r="D24" s="7" t="s">
        <v>64</v>
      </c>
      <c r="E24" s="7" t="s">
        <v>65</v>
      </c>
      <c r="F24" s="7" t="s">
        <v>64</v>
      </c>
      <c r="G24" s="7" t="s">
        <v>66</v>
      </c>
      <c r="H24" s="7" t="s">
        <v>66</v>
      </c>
      <c r="I24" s="7" t="s">
        <v>64</v>
      </c>
      <c r="J24" s="7" t="s">
        <v>65</v>
      </c>
      <c r="K24" s="7" t="s">
        <v>65</v>
      </c>
      <c r="L24" s="7" t="s">
        <v>66</v>
      </c>
      <c r="M24" s="8" t="s">
        <v>65</v>
      </c>
      <c r="N24">
        <v>80</v>
      </c>
      <c r="P24" s="15"/>
      <c r="AA24">
        <f>4 / 10</f>
        <v>0.4</v>
      </c>
    </row>
    <row r="25" spans="1:27" ht="15" thickBot="1" x14ac:dyDescent="0.4">
      <c r="A25">
        <v>15</v>
      </c>
      <c r="B25" t="s">
        <v>18</v>
      </c>
      <c r="C25" t="s">
        <v>34</v>
      </c>
      <c r="D25" s="5" t="s">
        <v>64</v>
      </c>
      <c r="E25" s="5" t="s">
        <v>65</v>
      </c>
      <c r="F25" s="5" t="s">
        <v>64</v>
      </c>
      <c r="G25" s="5" t="s">
        <v>66</v>
      </c>
      <c r="H25" s="5" t="s">
        <v>65</v>
      </c>
      <c r="I25" s="5" t="s">
        <v>66</v>
      </c>
      <c r="J25" s="5" t="s">
        <v>65</v>
      </c>
      <c r="K25" s="5" t="s">
        <v>68</v>
      </c>
      <c r="L25" s="5" t="s">
        <v>65</v>
      </c>
      <c r="M25" s="6" t="s">
        <v>64</v>
      </c>
      <c r="N25">
        <v>70</v>
      </c>
      <c r="P25" s="15"/>
      <c r="AA25">
        <f>3 / 10</f>
        <v>0.3</v>
      </c>
    </row>
    <row r="26" spans="1:27" ht="15" thickBot="1" x14ac:dyDescent="0.4">
      <c r="A26">
        <v>16</v>
      </c>
      <c r="B26" t="s">
        <v>18</v>
      </c>
      <c r="C26" t="s">
        <v>35</v>
      </c>
      <c r="D26" s="7" t="s">
        <v>64</v>
      </c>
      <c r="E26" s="7" t="s">
        <v>65</v>
      </c>
      <c r="F26" s="7" t="s">
        <v>64</v>
      </c>
      <c r="G26" s="7" t="s">
        <v>66</v>
      </c>
      <c r="H26" s="7" t="s">
        <v>66</v>
      </c>
      <c r="I26" s="7" t="s">
        <v>64</v>
      </c>
      <c r="J26" s="7" t="s">
        <v>65</v>
      </c>
      <c r="K26" s="7" t="s">
        <v>65</v>
      </c>
      <c r="L26" s="7" t="s">
        <v>65</v>
      </c>
      <c r="M26" s="8" t="s">
        <v>65</v>
      </c>
      <c r="N26">
        <v>90</v>
      </c>
      <c r="P26" s="15"/>
      <c r="AA26">
        <f>2 / 10</f>
        <v>0.2</v>
      </c>
    </row>
    <row r="27" spans="1:27" ht="15" thickBot="1" x14ac:dyDescent="0.4">
      <c r="A27">
        <v>17</v>
      </c>
      <c r="B27" t="s">
        <v>18</v>
      </c>
      <c r="C27" t="s">
        <v>36</v>
      </c>
      <c r="D27" s="5" t="s">
        <v>64</v>
      </c>
      <c r="E27" s="5" t="s">
        <v>65</v>
      </c>
      <c r="F27" s="5" t="s">
        <v>64</v>
      </c>
      <c r="G27" s="5" t="s">
        <v>66</v>
      </c>
      <c r="H27" s="5" t="s">
        <v>64</v>
      </c>
      <c r="I27" s="5" t="s">
        <v>64</v>
      </c>
      <c r="J27" s="5" t="s">
        <v>68</v>
      </c>
      <c r="K27" s="5" t="s">
        <v>64</v>
      </c>
      <c r="L27" s="5" t="s">
        <v>66</v>
      </c>
      <c r="M27" s="6" t="s">
        <v>68</v>
      </c>
      <c r="N27">
        <v>50</v>
      </c>
      <c r="P27" s="15"/>
      <c r="AA27">
        <f>7 / 10</f>
        <v>0.7</v>
      </c>
    </row>
    <row r="28" spans="1:27" ht="15" thickBot="1" x14ac:dyDescent="0.4">
      <c r="A28">
        <v>18</v>
      </c>
      <c r="B28" t="s">
        <v>18</v>
      </c>
      <c r="C28" t="s">
        <v>37</v>
      </c>
      <c r="P28" s="15"/>
      <c r="AA28">
        <f>8 / 10</f>
        <v>0.8</v>
      </c>
    </row>
    <row r="29" spans="1:27" ht="15" thickBot="1" x14ac:dyDescent="0.4">
      <c r="A29">
        <v>19</v>
      </c>
      <c r="B29" t="s">
        <v>18</v>
      </c>
      <c r="C29" t="s">
        <v>38</v>
      </c>
      <c r="D29" s="5" t="s">
        <v>64</v>
      </c>
      <c r="E29" s="5" t="s">
        <v>65</v>
      </c>
      <c r="F29" s="5" t="s">
        <v>64</v>
      </c>
      <c r="G29" s="5" t="s">
        <v>66</v>
      </c>
      <c r="H29" s="5" t="s">
        <v>65</v>
      </c>
      <c r="I29" s="5" t="s">
        <v>64</v>
      </c>
      <c r="J29" s="5" t="s">
        <v>66</v>
      </c>
      <c r="K29" s="5" t="s">
        <v>65</v>
      </c>
      <c r="L29" s="5" t="s">
        <v>65</v>
      </c>
      <c r="M29" s="6" t="s">
        <v>64</v>
      </c>
      <c r="N29">
        <v>80</v>
      </c>
      <c r="P29" s="15"/>
      <c r="AA29">
        <f>7 / 10</f>
        <v>0.7</v>
      </c>
    </row>
    <row r="30" spans="1:27" ht="15" thickBot="1" x14ac:dyDescent="0.4">
      <c r="A30">
        <v>20</v>
      </c>
      <c r="B30" t="s">
        <v>18</v>
      </c>
      <c r="C30" t="s">
        <v>39</v>
      </c>
      <c r="P30" s="15"/>
      <c r="AA30">
        <f>6 / 10</f>
        <v>0.6</v>
      </c>
    </row>
    <row r="31" spans="1:27" ht="15" thickBot="1" x14ac:dyDescent="0.4">
      <c r="A31">
        <v>21</v>
      </c>
      <c r="B31" t="s">
        <v>18</v>
      </c>
      <c r="C31" t="s">
        <v>40</v>
      </c>
      <c r="P31" s="15"/>
      <c r="AA31">
        <f>2 / 10</f>
        <v>0.2</v>
      </c>
    </row>
    <row r="32" spans="1:27" ht="15" thickBot="1" x14ac:dyDescent="0.4">
      <c r="A32">
        <v>22</v>
      </c>
      <c r="B32" t="s">
        <v>18</v>
      </c>
      <c r="C32" t="s">
        <v>41</v>
      </c>
      <c r="P32" s="15"/>
      <c r="AA32">
        <f>5 / 10</f>
        <v>0.5</v>
      </c>
    </row>
    <row r="33" spans="1:27" ht="15" thickBot="1" x14ac:dyDescent="0.4">
      <c r="A33">
        <v>23</v>
      </c>
      <c r="B33" t="s">
        <v>18</v>
      </c>
      <c r="C33" t="s">
        <v>42</v>
      </c>
      <c r="P33" s="15"/>
      <c r="AA33">
        <f>9 / 10</f>
        <v>0.9</v>
      </c>
    </row>
    <row r="34" spans="1:27" ht="15" thickBot="1" x14ac:dyDescent="0.4">
      <c r="A34">
        <v>24</v>
      </c>
      <c r="B34" t="s">
        <v>18</v>
      </c>
      <c r="C34" t="s">
        <v>43</v>
      </c>
      <c r="P34" s="15"/>
      <c r="AA34">
        <f>10 / 10</f>
        <v>1</v>
      </c>
    </row>
    <row r="35" spans="1:27" ht="15" thickBot="1" x14ac:dyDescent="0.4">
      <c r="A35">
        <v>25</v>
      </c>
      <c r="B35" t="s">
        <v>22</v>
      </c>
      <c r="C35" t="s">
        <v>44</v>
      </c>
      <c r="P35" s="15"/>
      <c r="AA35">
        <f>3 / 10</f>
        <v>0.3</v>
      </c>
    </row>
    <row r="36" spans="1:27" ht="15" thickBot="1" x14ac:dyDescent="0.4">
      <c r="A36">
        <v>26</v>
      </c>
      <c r="B36" t="s">
        <v>18</v>
      </c>
      <c r="C36" t="s">
        <v>45</v>
      </c>
      <c r="P36" s="15"/>
      <c r="AA36">
        <f>6 / 10</f>
        <v>0.6</v>
      </c>
    </row>
    <row r="37" spans="1:27" ht="15" thickBot="1" x14ac:dyDescent="0.4">
      <c r="A37">
        <v>27</v>
      </c>
      <c r="B37" t="s">
        <v>18</v>
      </c>
      <c r="C37" t="s">
        <v>46</v>
      </c>
      <c r="D37" s="5" t="s">
        <v>64</v>
      </c>
      <c r="E37" s="5" t="s">
        <v>66</v>
      </c>
      <c r="F37" s="5" t="s">
        <v>64</v>
      </c>
      <c r="G37" s="5" t="s">
        <v>66</v>
      </c>
      <c r="H37" s="5" t="s">
        <v>66</v>
      </c>
      <c r="I37" s="5" t="s">
        <v>64</v>
      </c>
      <c r="J37" s="5" t="s">
        <v>66</v>
      </c>
      <c r="K37" s="5" t="s">
        <v>65</v>
      </c>
      <c r="L37" s="5" t="s">
        <v>65</v>
      </c>
      <c r="M37" s="6" t="s">
        <v>64</v>
      </c>
      <c r="N37">
        <v>80</v>
      </c>
    </row>
    <row r="38" spans="1:27" ht="15" thickBot="1" x14ac:dyDescent="0.4">
      <c r="A38">
        <v>28</v>
      </c>
      <c r="B38" t="s">
        <v>18</v>
      </c>
      <c r="C38" t="s">
        <v>47</v>
      </c>
      <c r="D38" s="7" t="s">
        <v>64</v>
      </c>
      <c r="E38" s="7" t="s">
        <v>66</v>
      </c>
      <c r="F38" s="7" t="s">
        <v>64</v>
      </c>
      <c r="G38" s="7" t="s">
        <v>66</v>
      </c>
      <c r="H38" s="7" t="s">
        <v>66</v>
      </c>
      <c r="I38" s="7" t="s">
        <v>64</v>
      </c>
      <c r="J38" s="7" t="s">
        <v>65</v>
      </c>
      <c r="K38" s="7" t="s">
        <v>65</v>
      </c>
      <c r="L38" s="7" t="s">
        <v>65</v>
      </c>
      <c r="M38" s="8" t="s">
        <v>64</v>
      </c>
      <c r="N38">
        <v>90</v>
      </c>
    </row>
    <row r="39" spans="1:27" ht="15" thickBot="1" x14ac:dyDescent="0.4">
      <c r="A39">
        <v>29</v>
      </c>
      <c r="B39" t="s">
        <v>18</v>
      </c>
      <c r="C39" t="s">
        <v>48</v>
      </c>
      <c r="D39" s="7" t="s">
        <v>64</v>
      </c>
      <c r="E39" s="7" t="s">
        <v>65</v>
      </c>
      <c r="F39" s="7" t="s">
        <v>64</v>
      </c>
      <c r="G39" s="7" t="s">
        <v>66</v>
      </c>
      <c r="H39" s="7" t="s">
        <v>66</v>
      </c>
      <c r="I39" s="7" t="s">
        <v>64</v>
      </c>
      <c r="J39" s="7" t="s">
        <v>65</v>
      </c>
      <c r="K39" s="7" t="s">
        <v>65</v>
      </c>
      <c r="L39" s="7" t="s">
        <v>65</v>
      </c>
      <c r="M39" s="8" t="s">
        <v>64</v>
      </c>
      <c r="N39">
        <v>100</v>
      </c>
    </row>
    <row r="40" spans="1:27" x14ac:dyDescent="0.35">
      <c r="A40">
        <v>30</v>
      </c>
      <c r="B40" t="s">
        <v>18</v>
      </c>
      <c r="C40" t="s">
        <v>49</v>
      </c>
    </row>
    <row r="41" spans="1:27" x14ac:dyDescent="0.35">
      <c r="A41">
        <v>31</v>
      </c>
      <c r="B41" t="s">
        <v>22</v>
      </c>
      <c r="C41" t="s">
        <v>50</v>
      </c>
    </row>
    <row r="42" spans="1:27" ht="15" thickBot="1" x14ac:dyDescent="0.4">
      <c r="A42">
        <v>32</v>
      </c>
      <c r="B42" t="s">
        <v>18</v>
      </c>
      <c r="C42" t="s">
        <v>51</v>
      </c>
    </row>
    <row r="43" spans="1:27" ht="15" thickBot="1" x14ac:dyDescent="0.4">
      <c r="A43">
        <v>33</v>
      </c>
      <c r="B43" t="s">
        <v>18</v>
      </c>
      <c r="C43" t="s">
        <v>52</v>
      </c>
      <c r="D43" s="5" t="s">
        <v>64</v>
      </c>
      <c r="E43" s="5" t="s">
        <v>65</v>
      </c>
      <c r="F43" s="5" t="s">
        <v>64</v>
      </c>
      <c r="G43" s="5" t="s">
        <v>66</v>
      </c>
      <c r="H43" s="5" t="s">
        <v>66</v>
      </c>
      <c r="I43" s="5" t="s">
        <v>64</v>
      </c>
      <c r="J43" s="5" t="s">
        <v>65</v>
      </c>
      <c r="K43" s="5" t="s">
        <v>65</v>
      </c>
      <c r="L43" s="5" t="s">
        <v>65</v>
      </c>
      <c r="M43" s="6" t="s">
        <v>64</v>
      </c>
    </row>
    <row r="44" spans="1:27" ht="15" thickBot="1" x14ac:dyDescent="0.4">
      <c r="A44">
        <v>34</v>
      </c>
      <c r="B44" t="s">
        <v>22</v>
      </c>
      <c r="C44" t="s">
        <v>53</v>
      </c>
    </row>
    <row r="45" spans="1:27" ht="15" thickBot="1" x14ac:dyDescent="0.4">
      <c r="A45">
        <v>35</v>
      </c>
      <c r="B45" t="s">
        <v>18</v>
      </c>
      <c r="C45" t="s">
        <v>54</v>
      </c>
      <c r="D45" s="5" t="s">
        <v>64</v>
      </c>
      <c r="E45" s="5" t="s">
        <v>65</v>
      </c>
      <c r="F45" s="5" t="s">
        <v>64</v>
      </c>
      <c r="G45" s="5" t="s">
        <v>66</v>
      </c>
      <c r="H45" s="5" t="s">
        <v>66</v>
      </c>
      <c r="I45" s="5" t="s">
        <v>64</v>
      </c>
      <c r="J45" s="5" t="s">
        <v>66</v>
      </c>
      <c r="K45" s="5" t="s">
        <v>65</v>
      </c>
      <c r="L45" s="5" t="s">
        <v>65</v>
      </c>
      <c r="M45" s="6" t="s">
        <v>64</v>
      </c>
      <c r="N45">
        <v>90</v>
      </c>
    </row>
    <row r="46" spans="1:27" ht="15" thickBot="1" x14ac:dyDescent="0.4">
      <c r="A46">
        <v>36</v>
      </c>
      <c r="B46" t="s">
        <v>22</v>
      </c>
      <c r="C46" t="s">
        <v>55</v>
      </c>
    </row>
    <row r="47" spans="1:27" ht="15" thickBot="1" x14ac:dyDescent="0.4">
      <c r="A47">
        <v>37</v>
      </c>
      <c r="B47" t="s">
        <v>18</v>
      </c>
      <c r="C47" t="s">
        <v>56</v>
      </c>
      <c r="D47" s="7" t="s">
        <v>64</v>
      </c>
      <c r="E47" s="7" t="s">
        <v>66</v>
      </c>
      <c r="F47" s="7" t="s">
        <v>64</v>
      </c>
      <c r="G47" s="7" t="s">
        <v>66</v>
      </c>
      <c r="H47" s="7" t="s">
        <v>66</v>
      </c>
      <c r="I47" s="7" t="s">
        <v>64</v>
      </c>
      <c r="J47" s="7" t="s">
        <v>66</v>
      </c>
      <c r="K47" s="7" t="s">
        <v>65</v>
      </c>
      <c r="L47" s="7" t="s">
        <v>65</v>
      </c>
      <c r="M47" s="8" t="s">
        <v>64</v>
      </c>
      <c r="N47">
        <v>80</v>
      </c>
    </row>
    <row r="48" spans="1:27" ht="15" thickBot="1" x14ac:dyDescent="0.4">
      <c r="A48">
        <v>38</v>
      </c>
      <c r="B48" t="s">
        <v>18</v>
      </c>
      <c r="C48" t="s">
        <v>57</v>
      </c>
      <c r="D48" s="7" t="s">
        <v>66</v>
      </c>
      <c r="E48" s="7" t="s">
        <v>66</v>
      </c>
      <c r="F48" s="7" t="s">
        <v>64</v>
      </c>
      <c r="G48" s="7" t="s">
        <v>65</v>
      </c>
      <c r="H48" s="7" t="s">
        <v>65</v>
      </c>
      <c r="I48" s="7" t="s">
        <v>64</v>
      </c>
      <c r="J48" s="7" t="s">
        <v>65</v>
      </c>
      <c r="K48" s="7" t="s">
        <v>65</v>
      </c>
      <c r="L48" s="7" t="s">
        <v>66</v>
      </c>
      <c r="M48" s="8" t="s">
        <v>65</v>
      </c>
      <c r="N48">
        <v>40</v>
      </c>
    </row>
    <row r="49" spans="1:14" ht="15" thickBot="1" x14ac:dyDescent="0.4">
      <c r="A49">
        <v>39</v>
      </c>
      <c r="B49" t="s">
        <v>18</v>
      </c>
      <c r="C49" t="s">
        <v>58</v>
      </c>
      <c r="N49">
        <v>100</v>
      </c>
    </row>
    <row r="50" spans="1:14" ht="15" thickBot="1" x14ac:dyDescent="0.4">
      <c r="A50">
        <v>40</v>
      </c>
      <c r="B50" t="s">
        <v>18</v>
      </c>
      <c r="C50" t="s">
        <v>59</v>
      </c>
      <c r="D50" s="5" t="s">
        <v>66</v>
      </c>
      <c r="E50" s="5" t="s">
        <v>64</v>
      </c>
      <c r="F50" s="5" t="s">
        <v>64</v>
      </c>
      <c r="G50" s="5" t="s">
        <v>68</v>
      </c>
      <c r="H50" s="5" t="s">
        <v>66</v>
      </c>
      <c r="I50" s="5" t="s">
        <v>68</v>
      </c>
      <c r="J50" s="5" t="s">
        <v>66</v>
      </c>
      <c r="K50" s="5" t="s">
        <v>65</v>
      </c>
      <c r="L50" s="5" t="s">
        <v>65</v>
      </c>
      <c r="M50" s="6" t="s">
        <v>65</v>
      </c>
    </row>
    <row r="51" spans="1:14" ht="15" thickBot="1" x14ac:dyDescent="0.4">
      <c r="A51">
        <v>41</v>
      </c>
      <c r="B51" t="s">
        <v>18</v>
      </c>
      <c r="C51" t="s">
        <v>60</v>
      </c>
      <c r="D51" s="5" t="s">
        <v>64</v>
      </c>
      <c r="E51" s="5" t="s">
        <v>65</v>
      </c>
      <c r="F51" s="5" t="s">
        <v>64</v>
      </c>
      <c r="G51" s="5" t="s">
        <v>66</v>
      </c>
      <c r="H51" s="5" t="s">
        <v>68</v>
      </c>
      <c r="I51" s="5" t="s">
        <v>64</v>
      </c>
      <c r="J51" s="5" t="s">
        <v>65</v>
      </c>
      <c r="K51" s="5" t="s">
        <v>65</v>
      </c>
      <c r="L51" s="5" t="s">
        <v>65</v>
      </c>
      <c r="M51" s="6" t="s">
        <v>64</v>
      </c>
    </row>
    <row r="52" spans="1:14" ht="15" thickBot="1" x14ac:dyDescent="0.4">
      <c r="A52">
        <v>42</v>
      </c>
      <c r="B52" t="s">
        <v>18</v>
      </c>
      <c r="C52" t="s">
        <v>61</v>
      </c>
      <c r="D52" s="7" t="s">
        <v>65</v>
      </c>
      <c r="E52" s="7" t="s">
        <v>66</v>
      </c>
      <c r="F52" s="7" t="s">
        <v>66</v>
      </c>
      <c r="G52" s="7" t="s">
        <v>68</v>
      </c>
      <c r="H52" s="7" t="s">
        <v>65</v>
      </c>
      <c r="I52" s="7" t="s">
        <v>68</v>
      </c>
      <c r="J52" s="7" t="s">
        <v>64</v>
      </c>
      <c r="K52" s="7" t="s">
        <v>66</v>
      </c>
      <c r="L52" s="7" t="s">
        <v>66</v>
      </c>
      <c r="M52" s="8" t="s">
        <v>64</v>
      </c>
      <c r="N52" s="8">
        <v>10</v>
      </c>
    </row>
    <row r="53" spans="1:14" ht="15" thickBot="1" x14ac:dyDescent="0.4">
      <c r="D53" s="5"/>
      <c r="E53" s="5"/>
      <c r="F53" s="5"/>
      <c r="G53" s="5"/>
      <c r="H53" s="5"/>
      <c r="I53" s="5"/>
      <c r="J53" s="5"/>
      <c r="K53" s="5"/>
      <c r="L53" s="5"/>
      <c r="M53" s="5"/>
      <c r="N53" s="6"/>
    </row>
    <row r="54" spans="1:14" ht="15" thickBot="1" x14ac:dyDescent="0.4"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</row>
    <row r="55" spans="1:14" ht="15" thickBot="1" x14ac:dyDescent="0.4">
      <c r="D55" s="5"/>
      <c r="E55" s="5"/>
      <c r="F55" s="5"/>
      <c r="G55" s="5"/>
      <c r="H55" s="5"/>
      <c r="I55" s="5"/>
      <c r="J55" s="5"/>
      <c r="K55" s="5"/>
      <c r="L55" s="5"/>
      <c r="M55" s="5"/>
      <c r="N55" s="6"/>
    </row>
    <row r="56" spans="1:14" ht="15" thickBot="1" x14ac:dyDescent="0.4">
      <c r="D56" s="7"/>
      <c r="E56" s="7"/>
      <c r="F56" s="7"/>
      <c r="G56" s="7"/>
      <c r="H56" s="7"/>
      <c r="I56" s="7"/>
      <c r="J56" s="7"/>
      <c r="K56" s="7"/>
      <c r="L56" s="7"/>
      <c r="M56" s="7"/>
      <c r="N56" s="8"/>
    </row>
    <row r="57" spans="1:14" ht="15" thickBot="1" x14ac:dyDescent="0.4">
      <c r="D57" s="5"/>
      <c r="E57" s="5"/>
      <c r="F57" s="5"/>
      <c r="G57" s="5"/>
      <c r="H57" s="5"/>
      <c r="I57" s="5"/>
      <c r="J57" s="5"/>
      <c r="K57" s="5"/>
      <c r="L57" s="5"/>
      <c r="M57" s="5"/>
      <c r="N57" s="6"/>
    </row>
    <row r="58" spans="1:14" ht="15" thickBot="1" x14ac:dyDescent="0.4"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</row>
    <row r="59" spans="1:14" ht="15" thickBot="1" x14ac:dyDescent="0.4"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</row>
  </sheetData>
  <mergeCells count="1">
    <mergeCell ref="A1:U1"/>
  </mergeCells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3E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Gonzaga, Rafael Augusto Lopes</cp:lastModifiedBy>
  <dcterms:created xsi:type="dcterms:W3CDTF">2026-02-16T14:58:17Z</dcterms:created>
  <dcterms:modified xsi:type="dcterms:W3CDTF">2026-02-16T15:55:51Z</dcterms:modified>
</cp:coreProperties>
</file>