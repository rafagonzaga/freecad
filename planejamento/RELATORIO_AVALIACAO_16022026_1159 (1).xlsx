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gonzaga\Downloads\"/>
    </mc:Choice>
  </mc:AlternateContent>
  <xr:revisionPtr revIDLastSave="0" documentId="13_ncr:1_{EE1ACAFF-A5E0-4409-9ABD-FF9DFBD0FB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" l="1"/>
  <c r="N41" i="1"/>
  <c r="N47" i="1"/>
  <c r="N43" i="1"/>
  <c r="N13" i="1"/>
  <c r="N17" i="1"/>
  <c r="N24" i="1"/>
  <c r="N37" i="1"/>
  <c r="N40" i="1"/>
</calcChain>
</file>

<file path=xl/sharedStrings.xml><?xml version="1.0" encoding="utf-8"?>
<sst xmlns="http://schemas.openxmlformats.org/spreadsheetml/2006/main" count="192" uniqueCount="60">
  <si>
    <t>Relatório de Consulta de Avaliação</t>
  </si>
  <si>
    <t>Ano Letivo:</t>
  </si>
  <si>
    <t>2026</t>
  </si>
  <si>
    <t>Bimestre:</t>
  </si>
  <si>
    <t>1º</t>
  </si>
  <si>
    <t>Diretoria:</t>
  </si>
  <si>
    <t>LESTE 2</t>
  </si>
  <si>
    <t>Escola:</t>
  </si>
  <si>
    <t>ESTELA BORGES MORATO</t>
  </si>
  <si>
    <t>Tipo de Ensino:</t>
  </si>
  <si>
    <t>NOVO ENSINO MÉDIO</t>
  </si>
  <si>
    <t>Turma:</t>
  </si>
  <si>
    <t>3ª SERIE G NOITE ANUAL</t>
  </si>
  <si>
    <t>Disciplina:</t>
  </si>
  <si>
    <t>FISICA</t>
  </si>
  <si>
    <t>Nº</t>
  </si>
  <si>
    <t>Situação</t>
  </si>
  <si>
    <t>Nome</t>
  </si>
  <si>
    <t>Ativo</t>
  </si>
  <si>
    <t>AMANDA LEANDRO DA SILVA</t>
  </si>
  <si>
    <t>WILLIAN SILVA FEITOZA</t>
  </si>
  <si>
    <t>DAVI SILVA DO AMARAL</t>
  </si>
  <si>
    <t>EMILLY VICTORIA XAVIER SOARES DE ALMEIDA</t>
  </si>
  <si>
    <t>FABRICIO FURTADO DE LACERDA</t>
  </si>
  <si>
    <t>FELIPE SOUZA GALVAO DOS SANTOS</t>
  </si>
  <si>
    <t>GABRIEL DOS SANTOS FERREIRA</t>
  </si>
  <si>
    <t>GEOVANA CAMPOS DE LIMA</t>
  </si>
  <si>
    <t>GUILHERME SOUSA RAMOS DOS SANTOS</t>
  </si>
  <si>
    <t>IGOR DA CONCEICAO SANTOS LISBOA</t>
  </si>
  <si>
    <t>ISAQUE RAMOS LEITE DA SILVA</t>
  </si>
  <si>
    <t>KAUA CACIQUE DOS SANTOS</t>
  </si>
  <si>
    <t>KAWAN HANIEL SANTOS BRITO</t>
  </si>
  <si>
    <t>LARA MAZZEO LIMA</t>
  </si>
  <si>
    <t>LEONARDO BARCELLOS FERREIRA</t>
  </si>
  <si>
    <t>LETICIA MARULI SILVA ANDRADE</t>
  </si>
  <si>
    <t>LUAN ANTONIO DE SOUZA AVELINO</t>
  </si>
  <si>
    <t>LUIZ FERNANDO SILVA SANTOS</t>
  </si>
  <si>
    <t>MARIA EDUARDA PORTELLA PONTE</t>
  </si>
  <si>
    <t>MARIA LUIZA BARCELLOS FERREIRA</t>
  </si>
  <si>
    <t>MARIA LUIZA LOPES PELLEGRINO</t>
  </si>
  <si>
    <t>MELISSA SILVA DE OLIVEIRA</t>
  </si>
  <si>
    <t>MURILO QUEIROZ SOUZA</t>
  </si>
  <si>
    <t>NICOLLY GABRIELE GONCALVES DOS SANTOS</t>
  </si>
  <si>
    <t>PEDRO HENRIQUE NETO DE ARAUJO</t>
  </si>
  <si>
    <t>RAYANE EDUARDA GONCALVES AMORIM</t>
  </si>
  <si>
    <t>REBECA CARDOSO DA SILVA SANTOS</t>
  </si>
  <si>
    <t>THIAGO PEREIRA DE OLIVEIRA</t>
  </si>
  <si>
    <t>VIVIAN HAGATHA APARECIDA SANTOS FERREIRA</t>
  </si>
  <si>
    <t>WALLYSSON SALOMAO DA SILVA</t>
  </si>
  <si>
    <t>ANA JULIA TORRES ALVES</t>
  </si>
  <si>
    <t>ALANA ALVES</t>
  </si>
  <si>
    <t>BIANCA BALOG DOS SANTOS</t>
  </si>
  <si>
    <t>ALEXSANDRA CASTRO DA COSTA</t>
  </si>
  <si>
    <t>ANA CLARA MESQUITA DE LIMA</t>
  </si>
  <si>
    <t>AMANDA GOMES MARTINS DA SILVA</t>
  </si>
  <si>
    <t>ANNA CLARA VIANA LOPES</t>
  </si>
  <si>
    <t>C</t>
  </si>
  <si>
    <t>B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</si>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</sst>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8"/>
      <color rgb="FF459AD6"/>
      <name val="Calibri"/>
      <family val="2"/>
    </font>
    <font>
      <b/>
      <sz val="11"/>
      <color rgb="FFFFFFFF"/>
      <name val="Calibri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459AD6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C30" workbookViewId="0">
      <selection activeCell="C11" sqref="C11:N47"/>
    </sheetView>
  </sheetViews>
  <sheetFormatPr defaultRowHeight="14.5" x14ac:dyDescent="0.35"/>
  <cols>
    <col min="1" max="1" width="13.6328125" bestFit="1" customWidth="1"/>
    <col min="2" max="2" width="22.36328125" bestFit="1" customWidth="1"/>
    <col min="3" max="3" width="41.54296875" bestFit="1" customWidth="1"/>
    <col min="4" max="13" width="2" bestFit="1" customWidth="1"/>
    <col min="14" max="14" width="3.81640625" bestFit="1" customWidth="1"/>
    <col min="15" max="15" width="3.453125" customWidth="1"/>
  </cols>
  <sheetData>
    <row r="1" spans="1:15" ht="23.5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t="s">
        <v>1</v>
      </c>
      <c r="B2" t="s">
        <v>2</v>
      </c>
    </row>
    <row r="3" spans="1:15" x14ac:dyDescent="0.35">
      <c r="A3" t="s">
        <v>3</v>
      </c>
      <c r="B3" t="s">
        <v>4</v>
      </c>
    </row>
    <row r="4" spans="1:15" x14ac:dyDescent="0.35">
      <c r="A4" t="s">
        <v>5</v>
      </c>
      <c r="B4" t="s">
        <v>6</v>
      </c>
    </row>
    <row r="5" spans="1:15" x14ac:dyDescent="0.35">
      <c r="A5" t="s">
        <v>7</v>
      </c>
      <c r="B5" t="s">
        <v>8</v>
      </c>
    </row>
    <row r="6" spans="1:15" x14ac:dyDescent="0.35">
      <c r="A6" t="s">
        <v>9</v>
      </c>
      <c r="B6" t="s">
        <v>10</v>
      </c>
    </row>
    <row r="7" spans="1:15" x14ac:dyDescent="0.35">
      <c r="A7" t="s">
        <v>11</v>
      </c>
      <c r="B7" t="s">
        <v>12</v>
      </c>
    </row>
    <row r="8" spans="1:15" x14ac:dyDescent="0.35">
      <c r="A8" t="s">
        <v>13</v>
      </c>
      <c r="B8" t="s">
        <v>14</v>
      </c>
    </row>
    <row r="9" spans="1:15" ht="15" thickBot="1" x14ac:dyDescent="0.4"/>
    <row r="10" spans="1:15" ht="15" thickBot="1" x14ac:dyDescent="0.4">
      <c r="A10" s="2" t="s">
        <v>15</v>
      </c>
      <c r="B10" s="2" t="s">
        <v>16</v>
      </c>
      <c r="C10" s="2" t="s">
        <v>17</v>
      </c>
      <c r="D10" s="9" t="s">
        <v>56</v>
      </c>
      <c r="E10" s="10" t="s">
        <v>57</v>
      </c>
      <c r="F10" s="10" t="s">
        <v>56</v>
      </c>
      <c r="G10" s="10" t="s">
        <v>58</v>
      </c>
      <c r="H10" s="10" t="s">
        <v>58</v>
      </c>
      <c r="I10" s="10" t="s">
        <v>56</v>
      </c>
      <c r="J10" s="10" t="s">
        <v>57</v>
      </c>
      <c r="K10" s="10" t="s">
        <v>57</v>
      </c>
      <c r="L10" s="10" t="s">
        <v>57</v>
      </c>
      <c r="M10" s="11" t="s">
        <v>56</v>
      </c>
    </row>
    <row r="11" spans="1:15" x14ac:dyDescent="0.35">
      <c r="A11">
        <v>1</v>
      </c>
      <c r="B11" t="s">
        <v>18</v>
      </c>
      <c r="C11" t="s">
        <v>19</v>
      </c>
    </row>
    <row r="12" spans="1:15" ht="15" thickBot="1" x14ac:dyDescent="0.4">
      <c r="A12">
        <v>1</v>
      </c>
      <c r="B12" t="s">
        <v>18</v>
      </c>
      <c r="C12" t="s">
        <v>20</v>
      </c>
    </row>
    <row r="13" spans="1:15" ht="15" thickBot="1" x14ac:dyDescent="0.4">
      <c r="A13">
        <v>4</v>
      </c>
      <c r="B13" t="s">
        <v>18</v>
      </c>
      <c r="C13" t="s">
        <v>21</v>
      </c>
      <c r="D13" s="5" t="s">
        <v>56</v>
      </c>
      <c r="E13" s="5" t="s">
        <v>57</v>
      </c>
      <c r="F13" s="5" t="s">
        <v>56</v>
      </c>
      <c r="G13" s="5" t="s">
        <v>58</v>
      </c>
      <c r="H13" s="5" t="s">
        <v>56</v>
      </c>
      <c r="I13" s="5" t="s">
        <v>56</v>
      </c>
      <c r="J13" s="5" t="s">
        <v>57</v>
      </c>
      <c r="K13" s="5" t="s">
        <v>57</v>
      </c>
      <c r="L13" s="5" t="s">
        <v>58</v>
      </c>
      <c r="M13" s="6" t="s">
        <v>56</v>
      </c>
      <c r="N13">
        <f>8 / 10*100</f>
        <v>80</v>
      </c>
    </row>
    <row r="14" spans="1:15" x14ac:dyDescent="0.35">
      <c r="A14">
        <v>5</v>
      </c>
      <c r="B14" t="s">
        <v>18</v>
      </c>
      <c r="C14" t="s">
        <v>22</v>
      </c>
    </row>
    <row r="15" spans="1:15" x14ac:dyDescent="0.35">
      <c r="A15">
        <v>6</v>
      </c>
      <c r="B15" t="s">
        <v>18</v>
      </c>
      <c r="C15" t="s">
        <v>23</v>
      </c>
    </row>
    <row r="16" spans="1:15" ht="15" thickBot="1" x14ac:dyDescent="0.4">
      <c r="A16">
        <v>7</v>
      </c>
      <c r="B16" t="s">
        <v>18</v>
      </c>
      <c r="C16" t="s">
        <v>24</v>
      </c>
    </row>
    <row r="17" spans="1:14" ht="15" thickBot="1" x14ac:dyDescent="0.4">
      <c r="A17">
        <v>8</v>
      </c>
      <c r="B17" t="s">
        <v>18</v>
      </c>
      <c r="C17" t="s">
        <v>25</v>
      </c>
      <c r="D17" s="7" t="s">
        <v>58</v>
      </c>
      <c r="E17" s="7" t="s">
        <v>56</v>
      </c>
      <c r="F17" s="7" t="s">
        <v>56</v>
      </c>
      <c r="G17" s="7" t="s">
        <v>58</v>
      </c>
      <c r="H17" s="7" t="s">
        <v>58</v>
      </c>
      <c r="I17" s="7" t="s">
        <v>56</v>
      </c>
      <c r="J17" s="7" t="s">
        <v>58</v>
      </c>
      <c r="K17" s="7" t="s">
        <v>57</v>
      </c>
      <c r="L17" s="7" t="s">
        <v>57</v>
      </c>
      <c r="M17" s="8" t="s">
        <v>56</v>
      </c>
      <c r="N17">
        <f>7 / 10*100</f>
        <v>70</v>
      </c>
    </row>
    <row r="18" spans="1:14" x14ac:dyDescent="0.35">
      <c r="A18">
        <v>9</v>
      </c>
      <c r="B18" t="s">
        <v>18</v>
      </c>
      <c r="C18" t="s">
        <v>26</v>
      </c>
    </row>
    <row r="19" spans="1:14" x14ac:dyDescent="0.35">
      <c r="A19">
        <v>11</v>
      </c>
      <c r="B19" t="s">
        <v>18</v>
      </c>
      <c r="C19" t="s">
        <v>27</v>
      </c>
    </row>
    <row r="20" spans="1:14" x14ac:dyDescent="0.35">
      <c r="A20">
        <v>12</v>
      </c>
      <c r="B20" t="s">
        <v>18</v>
      </c>
      <c r="C20" t="s">
        <v>28</v>
      </c>
    </row>
    <row r="21" spans="1:14" x14ac:dyDescent="0.35">
      <c r="A21">
        <v>13</v>
      </c>
      <c r="B21" t="s">
        <v>18</v>
      </c>
      <c r="C21" t="s">
        <v>29</v>
      </c>
    </row>
    <row r="22" spans="1:14" x14ac:dyDescent="0.35">
      <c r="A22">
        <v>15</v>
      </c>
      <c r="B22" t="s">
        <v>18</v>
      </c>
      <c r="C22" t="s">
        <v>30</v>
      </c>
    </row>
    <row r="23" spans="1:14" ht="15" thickBot="1" x14ac:dyDescent="0.4">
      <c r="A23">
        <v>16</v>
      </c>
      <c r="B23" t="s">
        <v>18</v>
      </c>
      <c r="C23" t="s">
        <v>31</v>
      </c>
    </row>
    <row r="24" spans="1:14" ht="15" thickBot="1" x14ac:dyDescent="0.4">
      <c r="A24">
        <v>18</v>
      </c>
      <c r="B24" t="s">
        <v>18</v>
      </c>
      <c r="C24" t="s">
        <v>32</v>
      </c>
      <c r="D24" s="5" t="s">
        <v>56</v>
      </c>
      <c r="E24" s="5" t="s">
        <v>56</v>
      </c>
      <c r="F24" s="5" t="s">
        <v>59</v>
      </c>
      <c r="G24" s="5" t="s">
        <v>58</v>
      </c>
      <c r="H24" s="5" t="s">
        <v>57</v>
      </c>
      <c r="I24" s="5" t="s">
        <v>58</v>
      </c>
      <c r="J24" s="5" t="s">
        <v>58</v>
      </c>
      <c r="K24" s="5" t="s">
        <v>57</v>
      </c>
      <c r="L24" s="5" t="s">
        <v>57</v>
      </c>
      <c r="M24" s="6" t="s">
        <v>57</v>
      </c>
      <c r="N24">
        <f>4 / 10*100</f>
        <v>40</v>
      </c>
    </row>
    <row r="25" spans="1:14" x14ac:dyDescent="0.35">
      <c r="A25">
        <v>20</v>
      </c>
      <c r="B25" t="s">
        <v>18</v>
      </c>
      <c r="C25" t="s">
        <v>33</v>
      </c>
    </row>
    <row r="26" spans="1:14" x14ac:dyDescent="0.35">
      <c r="A26">
        <v>21</v>
      </c>
      <c r="B26" t="s">
        <v>18</v>
      </c>
      <c r="C26" t="s">
        <v>34</v>
      </c>
    </row>
    <row r="27" spans="1:14" x14ac:dyDescent="0.35">
      <c r="A27">
        <v>22</v>
      </c>
      <c r="B27" t="s">
        <v>18</v>
      </c>
      <c r="C27" t="s">
        <v>35</v>
      </c>
    </row>
    <row r="28" spans="1:14" x14ac:dyDescent="0.35">
      <c r="A28">
        <v>23</v>
      </c>
      <c r="B28" t="s">
        <v>18</v>
      </c>
      <c r="C28" t="s">
        <v>36</v>
      </c>
    </row>
    <row r="29" spans="1:14" x14ac:dyDescent="0.35">
      <c r="A29">
        <v>24</v>
      </c>
      <c r="B29" t="s">
        <v>18</v>
      </c>
      <c r="C29" t="s">
        <v>37</v>
      </c>
    </row>
    <row r="30" spans="1:14" x14ac:dyDescent="0.35">
      <c r="A30">
        <v>25</v>
      </c>
      <c r="B30" t="s">
        <v>18</v>
      </c>
      <c r="C30" t="s">
        <v>38</v>
      </c>
    </row>
    <row r="31" spans="1:14" x14ac:dyDescent="0.35">
      <c r="A31">
        <v>26</v>
      </c>
      <c r="B31" t="s">
        <v>18</v>
      </c>
      <c r="C31" t="s">
        <v>39</v>
      </c>
    </row>
    <row r="32" spans="1:14" x14ac:dyDescent="0.35">
      <c r="A32">
        <v>27</v>
      </c>
      <c r="B32" t="s">
        <v>18</v>
      </c>
      <c r="C32" t="s">
        <v>40</v>
      </c>
    </row>
    <row r="33" spans="1:14" x14ac:dyDescent="0.35">
      <c r="A33">
        <v>28</v>
      </c>
      <c r="B33" t="s">
        <v>18</v>
      </c>
      <c r="C33" t="s">
        <v>41</v>
      </c>
    </row>
    <row r="34" spans="1:14" x14ac:dyDescent="0.35">
      <c r="A34">
        <v>29</v>
      </c>
      <c r="B34" t="s">
        <v>18</v>
      </c>
      <c r="C34" t="s">
        <v>42</v>
      </c>
    </row>
    <row r="35" spans="1:14" x14ac:dyDescent="0.35">
      <c r="A35">
        <v>30</v>
      </c>
      <c r="B35" t="s">
        <v>18</v>
      </c>
      <c r="C35" t="s">
        <v>43</v>
      </c>
    </row>
    <row r="36" spans="1:14" ht="15" thickBot="1" x14ac:dyDescent="0.4">
      <c r="A36">
        <v>32</v>
      </c>
      <c r="B36" t="s">
        <v>18</v>
      </c>
      <c r="C36" t="s">
        <v>44</v>
      </c>
    </row>
    <row r="37" spans="1:14" ht="15" thickBot="1" x14ac:dyDescent="0.4">
      <c r="A37">
        <v>33</v>
      </c>
      <c r="B37" t="s">
        <v>18</v>
      </c>
      <c r="C37" t="s">
        <v>45</v>
      </c>
      <c r="D37" s="7" t="s">
        <v>57</v>
      </c>
      <c r="E37" s="7" t="s">
        <v>58</v>
      </c>
      <c r="F37" s="7" t="s">
        <v>57</v>
      </c>
      <c r="G37" s="7" t="s">
        <v>59</v>
      </c>
      <c r="H37" s="7" t="s">
        <v>58</v>
      </c>
      <c r="I37" s="7" t="s">
        <v>58</v>
      </c>
      <c r="J37" s="7" t="s">
        <v>58</v>
      </c>
      <c r="K37" s="7" t="s">
        <v>57</v>
      </c>
      <c r="L37" s="7" t="s">
        <v>57</v>
      </c>
      <c r="M37" s="8" t="s">
        <v>57</v>
      </c>
      <c r="N37">
        <f>3 / 10*100</f>
        <v>30</v>
      </c>
    </row>
    <row r="38" spans="1:14" x14ac:dyDescent="0.35">
      <c r="A38">
        <v>34</v>
      </c>
      <c r="B38" t="s">
        <v>18</v>
      </c>
      <c r="C38" t="s">
        <v>46</v>
      </c>
    </row>
    <row r="39" spans="1:14" ht="15" thickBot="1" x14ac:dyDescent="0.4">
      <c r="A39">
        <v>35</v>
      </c>
      <c r="B39" t="s">
        <v>18</v>
      </c>
      <c r="C39" t="s">
        <v>47</v>
      </c>
    </row>
    <row r="40" spans="1:14" ht="15" thickBot="1" x14ac:dyDescent="0.4">
      <c r="A40">
        <v>36</v>
      </c>
      <c r="B40" t="s">
        <v>18</v>
      </c>
      <c r="C40" t="s">
        <v>48</v>
      </c>
      <c r="D40" s="5" t="s">
        <v>56</v>
      </c>
      <c r="E40" s="5" t="s">
        <v>57</v>
      </c>
      <c r="F40" s="5" t="s">
        <v>56</v>
      </c>
      <c r="G40" s="5" t="s">
        <v>58</v>
      </c>
      <c r="H40" s="5" t="s">
        <v>58</v>
      </c>
      <c r="I40" s="5" t="s">
        <v>56</v>
      </c>
      <c r="J40" s="5" t="s">
        <v>57</v>
      </c>
      <c r="K40" s="5" t="s">
        <v>57</v>
      </c>
      <c r="L40" s="5" t="s">
        <v>57</v>
      </c>
      <c r="M40" s="6" t="s">
        <v>56</v>
      </c>
      <c r="N40">
        <f>10 / 10*100</f>
        <v>100</v>
      </c>
    </row>
    <row r="41" spans="1:14" ht="15" thickBot="1" x14ac:dyDescent="0.4">
      <c r="A41">
        <v>37</v>
      </c>
      <c r="B41" t="s">
        <v>18</v>
      </c>
      <c r="C41" t="s">
        <v>49</v>
      </c>
      <c r="D41" s="5" t="s">
        <v>57</v>
      </c>
      <c r="E41" s="5" t="s">
        <v>57</v>
      </c>
      <c r="F41" s="5" t="s">
        <v>56</v>
      </c>
      <c r="G41" s="5" t="s">
        <v>57</v>
      </c>
      <c r="H41" s="5" t="s">
        <v>58</v>
      </c>
      <c r="I41" s="5" t="s">
        <v>56</v>
      </c>
      <c r="J41" s="5" t="s">
        <v>58</v>
      </c>
      <c r="K41" s="5" t="s">
        <v>59</v>
      </c>
      <c r="L41" s="5" t="s">
        <v>57</v>
      </c>
      <c r="M41" s="6" t="s">
        <v>56</v>
      </c>
      <c r="N41">
        <f>6 / 10*100</f>
        <v>60</v>
      </c>
    </row>
    <row r="42" spans="1:14" ht="15" thickBot="1" x14ac:dyDescent="0.4">
      <c r="A42">
        <v>38</v>
      </c>
      <c r="B42" t="s">
        <v>18</v>
      </c>
      <c r="C42" t="s">
        <v>50</v>
      </c>
    </row>
    <row r="43" spans="1:14" ht="15" thickBot="1" x14ac:dyDescent="0.4">
      <c r="A43">
        <v>39</v>
      </c>
      <c r="B43" t="s">
        <v>18</v>
      </c>
      <c r="C43" t="s">
        <v>51</v>
      </c>
      <c r="D43" s="5" t="s">
        <v>56</v>
      </c>
      <c r="E43" s="5" t="s">
        <v>57</v>
      </c>
      <c r="F43" s="5" t="s">
        <v>56</v>
      </c>
      <c r="G43" s="5" t="s">
        <v>59</v>
      </c>
      <c r="H43" s="5" t="s">
        <v>58</v>
      </c>
      <c r="I43" s="5" t="s">
        <v>56</v>
      </c>
      <c r="J43" s="5" t="s">
        <v>58</v>
      </c>
      <c r="K43" s="5" t="s">
        <v>57</v>
      </c>
      <c r="L43" s="5" t="s">
        <v>57</v>
      </c>
      <c r="M43" s="6" t="s">
        <v>56</v>
      </c>
      <c r="N43">
        <f>8 / 10*100</f>
        <v>80</v>
      </c>
    </row>
    <row r="44" spans="1:14" x14ac:dyDescent="0.35">
      <c r="A44">
        <v>40</v>
      </c>
      <c r="B44" t="s">
        <v>18</v>
      </c>
      <c r="C44" t="s">
        <v>52</v>
      </c>
    </row>
    <row r="45" spans="1:14" ht="15" thickBot="1" x14ac:dyDescent="0.4">
      <c r="A45">
        <v>41</v>
      </c>
      <c r="B45" t="s">
        <v>18</v>
      </c>
      <c r="C45" t="s">
        <v>53</v>
      </c>
    </row>
    <row r="46" spans="1:14" ht="15" thickBot="1" x14ac:dyDescent="0.4">
      <c r="A46">
        <v>42</v>
      </c>
      <c r="B46" t="s">
        <v>18</v>
      </c>
      <c r="C46" t="s">
        <v>54</v>
      </c>
      <c r="D46" s="3" t="s">
        <v>56</v>
      </c>
      <c r="E46" s="3" t="s">
        <v>57</v>
      </c>
      <c r="F46" s="3" t="s">
        <v>56</v>
      </c>
      <c r="G46" s="3" t="s">
        <v>58</v>
      </c>
      <c r="H46" s="3" t="s">
        <v>58</v>
      </c>
      <c r="I46" s="3" t="s">
        <v>56</v>
      </c>
      <c r="J46" s="3" t="s">
        <v>57</v>
      </c>
      <c r="K46" s="3" t="s">
        <v>57</v>
      </c>
      <c r="L46" s="3" t="s">
        <v>57</v>
      </c>
      <c r="M46" s="4" t="s">
        <v>56</v>
      </c>
      <c r="N46">
        <f>10 / 10*100</f>
        <v>100</v>
      </c>
    </row>
    <row r="47" spans="1:14" ht="15" thickBot="1" x14ac:dyDescent="0.4">
      <c r="A47">
        <v>43</v>
      </c>
      <c r="B47" t="s">
        <v>18</v>
      </c>
      <c r="C47" t="s">
        <v>55</v>
      </c>
      <c r="D47" s="7" t="s">
        <v>58</v>
      </c>
      <c r="E47" s="7" t="s">
        <v>58</v>
      </c>
      <c r="F47" s="7" t="s">
        <v>56</v>
      </c>
      <c r="G47" s="7" t="s">
        <v>58</v>
      </c>
      <c r="H47" s="7" t="s">
        <v>57</v>
      </c>
      <c r="I47" s="7" t="s">
        <v>56</v>
      </c>
      <c r="J47" s="7" t="s">
        <v>58</v>
      </c>
      <c r="K47" s="7" t="s">
        <v>57</v>
      </c>
      <c r="L47" s="7" t="s">
        <v>57</v>
      </c>
      <c r="M47" s="8" t="s">
        <v>56</v>
      </c>
      <c r="N47">
        <f>6 / 10*100</f>
        <v>60</v>
      </c>
    </row>
  </sheetData>
  <mergeCells count="1">
    <mergeCell ref="A1:O1"/>
  </mergeCells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Gonzaga, Rafael Augusto Lopes</cp:lastModifiedBy>
  <dcterms:created xsi:type="dcterms:W3CDTF">2026-02-16T14:59:34Z</dcterms:created>
  <dcterms:modified xsi:type="dcterms:W3CDTF">2026-02-16T16:28:13Z</dcterms:modified>
</cp:coreProperties>
</file>