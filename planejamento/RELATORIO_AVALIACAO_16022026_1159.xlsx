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gonzaga\Downloads\"/>
    </mc:Choice>
  </mc:AlternateContent>
  <xr:revisionPtr revIDLastSave="0" documentId="13_ncr:1_{48C353E7-6C73-4E8D-A706-F1202C38D1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3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N14" i="1"/>
  <c r="N15" i="1"/>
  <c r="N17" i="1"/>
  <c r="N47" i="1"/>
  <c r="N19" i="1"/>
  <c r="N20" i="1"/>
  <c r="N21" i="1"/>
  <c r="N22" i="1"/>
  <c r="N25" i="1"/>
  <c r="N48" i="1"/>
  <c r="N26" i="1"/>
  <c r="N30" i="1"/>
  <c r="N31" i="1"/>
  <c r="N32" i="1"/>
  <c r="N33" i="1"/>
  <c r="N34" i="1"/>
  <c r="N49" i="1"/>
  <c r="N37" i="1"/>
  <c r="N38" i="1"/>
  <c r="N39" i="1"/>
  <c r="N40" i="1"/>
  <c r="N41" i="1"/>
  <c r="N42" i="1"/>
  <c r="N43" i="1"/>
  <c r="N45" i="1"/>
  <c r="N46" i="1"/>
</calcChain>
</file>

<file path=xl/sharedStrings.xml><?xml version="1.0" encoding="utf-8"?>
<sst xmlns="http://schemas.openxmlformats.org/spreadsheetml/2006/main" count="376" uniqueCount="64">
  <si>
    <t>Relatório de Consulta de Avaliação</t>
  </si>
  <si>
    <t>Ano Letivo:</t>
  </si>
  <si>
    <t>2026</t>
  </si>
  <si>
    <t>Bimestre:</t>
  </si>
  <si>
    <t>1º</t>
  </si>
  <si>
    <t>Diretoria:</t>
  </si>
  <si>
    <t>LESTE 2</t>
  </si>
  <si>
    <t>Escola:</t>
  </si>
  <si>
    <t>ESTELA BORGES MORATO</t>
  </si>
  <si>
    <t>Tipo de Ensino:</t>
  </si>
  <si>
    <t>NOVO ENSINO MÉDIO</t>
  </si>
  <si>
    <t>Turma:</t>
  </si>
  <si>
    <t>3ª SERIE F NOITE ANUAL</t>
  </si>
  <si>
    <t>Disciplina:</t>
  </si>
  <si>
    <t>FISICA</t>
  </si>
  <si>
    <t>Nº</t>
  </si>
  <si>
    <t>Situação</t>
  </si>
  <si>
    <t>Nome</t>
  </si>
  <si>
    <t>Ativo</t>
  </si>
  <si>
    <t>BRAYAN BRASILEIRO NOGUEIRA</t>
  </si>
  <si>
    <t>CAROLINE SOUZA DE CARVALHO</t>
  </si>
  <si>
    <t>CLAUDIA DA SILVA SANTANA</t>
  </si>
  <si>
    <t>DANIELLA ALVES DO NASCIMENTO</t>
  </si>
  <si>
    <t>ELOYSA OLIVEIRA SANTOS</t>
  </si>
  <si>
    <t>EMILLY SANTANA FRANCISCO</t>
  </si>
  <si>
    <t>ESTHER ALVES DO NASCIMENTO</t>
  </si>
  <si>
    <t>GABRIEL BUENO SANTANA</t>
  </si>
  <si>
    <t>GABRIELLA MAZZEO LIMA</t>
  </si>
  <si>
    <t>GIULLIA VITORIA SILVA DE LIMA</t>
  </si>
  <si>
    <t>GUILHERME PINHEIRO MOSCONI</t>
  </si>
  <si>
    <t>GUSTAVO FERREIRA SILVA DOS SANTOS</t>
  </si>
  <si>
    <t>Transferido</t>
  </si>
  <si>
    <t>ISABELLA MOLINO VELILHA</t>
  </si>
  <si>
    <t>ITALO BATISTA DOS SANTOS</t>
  </si>
  <si>
    <t>JOAO PEDRO MOURA MACEDO</t>
  </si>
  <si>
    <t>JULIA FERNANDES ALVES</t>
  </si>
  <si>
    <t>Remanejamento</t>
  </si>
  <si>
    <t>KAIQUE GONÇALVES NASCIMENTO</t>
  </si>
  <si>
    <t>KAUA GUSTAVO FRANCA CARLOS</t>
  </si>
  <si>
    <t>LEONARDO HENRIQUE DE LIMA SANTOS</t>
  </si>
  <si>
    <t>LINCOLN ELENILDO ALVES</t>
  </si>
  <si>
    <t>MARCELO GREGORIO DE ALMEIDA</t>
  </si>
  <si>
    <t>MARIA EDUARDA PEREIRA SOARES</t>
  </si>
  <si>
    <t>MARIA JULIA ALMEIDA SAMPAIO</t>
  </si>
  <si>
    <t>MARIANA MARTINIANO MOREIRA</t>
  </si>
  <si>
    <t>MATHEUS DIAS BRAGA DOS SANTOS</t>
  </si>
  <si>
    <t>NICOLAS BRAZ FREITAS</t>
  </si>
  <si>
    <t>NIQUELI GABRIELLI NUNES KOBIEC</t>
  </si>
  <si>
    <t>PEDRO HENRIQUE SILVA DA CONCEICAO</t>
  </si>
  <si>
    <t>PEDRO SILVA SOUSA</t>
  </si>
  <si>
    <t>SABRINA XAVIER RAMOS</t>
  </si>
  <si>
    <t>SARAH ANGELICA DOS SANTOS</t>
  </si>
  <si>
    <t>THIAGO MARTINS DE BARROS</t>
  </si>
  <si>
    <t>VALENTINA RAMOS BORGES</t>
  </si>
  <si>
    <t>VITORIA CAROLINE MATTOS DOS SANTOS</t>
  </si>
  <si>
    <t>WENDEL MONTEIRO DOS SANTOS</t>
  </si>
  <si>
    <t>WILLIAN BARBOSA DE OLIVEIRA</t>
  </si>
  <si>
    <t>FABIO WYLKER RAMOS DA SILVA LINS</t>
  </si>
  <si>
    <t>JOAO VITOR FONSECA ALVES BARBOSA</t>
  </si>
  <si>
    <t>MILENY OLIVEIRA QUINTAES</t>
  </si>
  <si>
    <t>C</t>
  </si>
  <si>
    <t>B</t>
  </si>
  <si>
    <t>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</si>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</sst>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8"/>
      <color rgb="FF459AD6"/>
      <name val="Calibri"/>
      <family val="2"/>
    </font>
    <font>
      <b/>
      <sz val="11"/>
      <color rgb="FFFFFFFF"/>
      <name val="Calibri"/>
      <family val="2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459AD6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</borders>
  <cellStyleXfs count="1">
    <xf numFmtId="0" fontId="0" fillId="0" borderId="0" applyBorder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tabSelected="1" topLeftCell="C41" zoomScale="115" zoomScaleNormal="115" workbookViewId="0">
      <selection activeCell="C11" sqref="C11:N49"/>
    </sheetView>
  </sheetViews>
  <sheetFormatPr defaultRowHeight="14.5" x14ac:dyDescent="0.35"/>
  <cols>
    <col min="1" max="1" width="13.6328125" bestFit="1" customWidth="1"/>
    <col min="2" max="2" width="22.36328125" bestFit="1" customWidth="1"/>
    <col min="3" max="3" width="35.7265625" bestFit="1" customWidth="1"/>
    <col min="4" max="13" width="2" bestFit="1" customWidth="1"/>
    <col min="14" max="14" width="3.81640625" bestFit="1" customWidth="1"/>
    <col min="15" max="15" width="4.1796875" customWidth="1"/>
    <col min="16" max="16" width="29.6328125" bestFit="1" customWidth="1"/>
    <col min="17" max="17" width="3.6328125" bestFit="1" customWidth="1"/>
    <col min="18" max="27" width="2" bestFit="1" customWidth="1"/>
    <col min="28" max="28" width="3.81640625" bestFit="1" customWidth="1"/>
  </cols>
  <sheetData>
    <row r="1" spans="1:19" ht="23.5" x14ac:dyDescent="0.5500000000000000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5">
      <c r="A2" t="s">
        <v>1</v>
      </c>
      <c r="B2" t="s">
        <v>2</v>
      </c>
    </row>
    <row r="3" spans="1:19" x14ac:dyDescent="0.35">
      <c r="A3" t="s">
        <v>3</v>
      </c>
      <c r="B3" t="s">
        <v>4</v>
      </c>
    </row>
    <row r="4" spans="1:19" x14ac:dyDescent="0.35">
      <c r="A4" t="s">
        <v>5</v>
      </c>
      <c r="B4" t="s">
        <v>6</v>
      </c>
    </row>
    <row r="5" spans="1:19" x14ac:dyDescent="0.35">
      <c r="A5" t="s">
        <v>7</v>
      </c>
      <c r="B5" t="s">
        <v>8</v>
      </c>
    </row>
    <row r="6" spans="1:19" x14ac:dyDescent="0.35">
      <c r="A6" t="s">
        <v>9</v>
      </c>
      <c r="B6" t="s">
        <v>10</v>
      </c>
    </row>
    <row r="7" spans="1:19" x14ac:dyDescent="0.35">
      <c r="A7" t="s">
        <v>11</v>
      </c>
      <c r="B7" t="s">
        <v>12</v>
      </c>
    </row>
    <row r="8" spans="1:19" x14ac:dyDescent="0.35">
      <c r="A8" t="s">
        <v>13</v>
      </c>
      <c r="B8" t="s">
        <v>14</v>
      </c>
    </row>
    <row r="9" spans="1:19" ht="15" thickBot="1" x14ac:dyDescent="0.4"/>
    <row r="10" spans="1:19" ht="15" thickBot="1" x14ac:dyDescent="0.4">
      <c r="A10" s="2" t="s">
        <v>15</v>
      </c>
      <c r="B10" s="2" t="s">
        <v>16</v>
      </c>
      <c r="C10" s="2" t="s">
        <v>17</v>
      </c>
      <c r="D10" s="11" t="s">
        <v>60</v>
      </c>
      <c r="E10" s="12" t="s">
        <v>61</v>
      </c>
      <c r="F10" s="12" t="s">
        <v>60</v>
      </c>
      <c r="G10" s="12" t="s">
        <v>63</v>
      </c>
      <c r="H10" s="12" t="s">
        <v>63</v>
      </c>
      <c r="I10" s="12" t="s">
        <v>60</v>
      </c>
      <c r="J10" s="12" t="s">
        <v>61</v>
      </c>
      <c r="K10" s="12" t="s">
        <v>61</v>
      </c>
      <c r="L10" s="12" t="s">
        <v>61</v>
      </c>
      <c r="M10" s="13" t="s">
        <v>60</v>
      </c>
    </row>
    <row r="11" spans="1:19" x14ac:dyDescent="0.35">
      <c r="A11">
        <v>2</v>
      </c>
      <c r="B11" t="s">
        <v>18</v>
      </c>
      <c r="C11" t="s">
        <v>19</v>
      </c>
    </row>
    <row r="12" spans="1:19" ht="15" thickBot="1" x14ac:dyDescent="0.4">
      <c r="A12">
        <v>3</v>
      </c>
      <c r="B12" t="s">
        <v>18</v>
      </c>
      <c r="C12" t="s">
        <v>20</v>
      </c>
    </row>
    <row r="13" spans="1:19" ht="15" thickBot="1" x14ac:dyDescent="0.4">
      <c r="A13">
        <v>5</v>
      </c>
      <c r="B13" t="s">
        <v>18</v>
      </c>
      <c r="C13" t="s">
        <v>21</v>
      </c>
      <c r="D13" s="3" t="s">
        <v>60</v>
      </c>
      <c r="E13" s="3" t="s">
        <v>61</v>
      </c>
      <c r="F13" s="3" t="s">
        <v>60</v>
      </c>
      <c r="G13" s="3" t="s">
        <v>63</v>
      </c>
      <c r="H13" s="3" t="s">
        <v>63</v>
      </c>
      <c r="I13" s="3" t="s">
        <v>60</v>
      </c>
      <c r="J13" s="3" t="s">
        <v>63</v>
      </c>
      <c r="K13" s="3" t="s">
        <v>61</v>
      </c>
      <c r="L13" s="3" t="s">
        <v>61</v>
      </c>
      <c r="M13" s="4" t="s">
        <v>60</v>
      </c>
      <c r="N13">
        <f>9 / 10*100</f>
        <v>90</v>
      </c>
    </row>
    <row r="14" spans="1:19" ht="15" thickBot="1" x14ac:dyDescent="0.4">
      <c r="A14">
        <v>6</v>
      </c>
      <c r="B14" t="s">
        <v>18</v>
      </c>
      <c r="C14" t="s">
        <v>22</v>
      </c>
      <c r="D14" s="5" t="s">
        <v>60</v>
      </c>
      <c r="E14" s="5" t="s">
        <v>61</v>
      </c>
      <c r="F14" s="5" t="s">
        <v>60</v>
      </c>
      <c r="G14" s="5" t="s">
        <v>60</v>
      </c>
      <c r="H14" s="5" t="s">
        <v>63</v>
      </c>
      <c r="I14" s="5" t="s">
        <v>60</v>
      </c>
      <c r="J14" s="5" t="s">
        <v>61</v>
      </c>
      <c r="K14" s="5" t="s">
        <v>61</v>
      </c>
      <c r="L14" s="5" t="s">
        <v>61</v>
      </c>
      <c r="M14" s="6" t="s">
        <v>60</v>
      </c>
      <c r="N14">
        <f>9 / 10*100</f>
        <v>90</v>
      </c>
    </row>
    <row r="15" spans="1:19" ht="15" thickBot="1" x14ac:dyDescent="0.4">
      <c r="A15">
        <v>7</v>
      </c>
      <c r="B15" t="s">
        <v>18</v>
      </c>
      <c r="C15" t="s">
        <v>23</v>
      </c>
      <c r="D15" s="7" t="s">
        <v>63</v>
      </c>
      <c r="E15" s="7" t="s">
        <v>63</v>
      </c>
      <c r="F15" s="7" t="s">
        <v>60</v>
      </c>
      <c r="G15" s="7" t="s">
        <v>63</v>
      </c>
      <c r="H15" s="7" t="s">
        <v>60</v>
      </c>
      <c r="I15" s="7" t="s">
        <v>62</v>
      </c>
      <c r="J15" s="7" t="s">
        <v>60</v>
      </c>
      <c r="K15" s="7" t="s">
        <v>61</v>
      </c>
      <c r="L15" s="7" t="s">
        <v>63</v>
      </c>
      <c r="M15" s="8" t="s">
        <v>60</v>
      </c>
      <c r="N15">
        <f>4 / 10*100</f>
        <v>40</v>
      </c>
    </row>
    <row r="16" spans="1:19" ht="15" thickBot="1" x14ac:dyDescent="0.4">
      <c r="A16">
        <v>8</v>
      </c>
      <c r="B16" t="s">
        <v>18</v>
      </c>
      <c r="C16" t="s">
        <v>24</v>
      </c>
    </row>
    <row r="17" spans="1:14" ht="15" thickBot="1" x14ac:dyDescent="0.4">
      <c r="A17">
        <v>9</v>
      </c>
      <c r="B17" t="s">
        <v>18</v>
      </c>
      <c r="C17" t="s">
        <v>25</v>
      </c>
      <c r="D17" s="5" t="s">
        <v>60</v>
      </c>
      <c r="E17" s="5" t="s">
        <v>61</v>
      </c>
      <c r="F17" s="5" t="s">
        <v>60</v>
      </c>
      <c r="G17" s="5" t="s">
        <v>62</v>
      </c>
      <c r="H17" s="5" t="s">
        <v>63</v>
      </c>
      <c r="I17" s="5" t="s">
        <v>60</v>
      </c>
      <c r="J17" s="5" t="s">
        <v>61</v>
      </c>
      <c r="K17" s="5" t="s">
        <v>61</v>
      </c>
      <c r="L17" s="5" t="s">
        <v>61</v>
      </c>
      <c r="M17" s="6" t="s">
        <v>60</v>
      </c>
      <c r="N17">
        <f>9 / 10*100</f>
        <v>90</v>
      </c>
    </row>
    <row r="18" spans="1:14" ht="15" thickBot="1" x14ac:dyDescent="0.4">
      <c r="A18">
        <v>10</v>
      </c>
      <c r="B18" t="s">
        <v>18</v>
      </c>
      <c r="C18" t="s">
        <v>26</v>
      </c>
    </row>
    <row r="19" spans="1:14" ht="15" thickBot="1" x14ac:dyDescent="0.4">
      <c r="A19">
        <v>11</v>
      </c>
      <c r="B19" t="s">
        <v>18</v>
      </c>
      <c r="C19" t="s">
        <v>27</v>
      </c>
      <c r="D19" s="5" t="s">
        <v>63</v>
      </c>
      <c r="E19" s="5" t="s">
        <v>63</v>
      </c>
      <c r="F19" s="5" t="s">
        <v>60</v>
      </c>
      <c r="G19" s="5" t="s">
        <v>63</v>
      </c>
      <c r="H19" s="5" t="s">
        <v>62</v>
      </c>
      <c r="I19" s="5" t="s">
        <v>61</v>
      </c>
      <c r="J19" s="5" t="s">
        <v>60</v>
      </c>
      <c r="K19" s="5" t="s">
        <v>61</v>
      </c>
      <c r="L19" s="5" t="s">
        <v>61</v>
      </c>
      <c r="M19" s="6" t="s">
        <v>62</v>
      </c>
      <c r="N19">
        <f>4 / 10*100</f>
        <v>40</v>
      </c>
    </row>
    <row r="20" spans="1:14" ht="15" thickBot="1" x14ac:dyDescent="0.4">
      <c r="A20">
        <v>12</v>
      </c>
      <c r="B20" t="s">
        <v>18</v>
      </c>
      <c r="C20" t="s">
        <v>28</v>
      </c>
      <c r="D20" s="7" t="s">
        <v>62</v>
      </c>
      <c r="E20" s="7" t="s">
        <v>63</v>
      </c>
      <c r="F20" s="7" t="s">
        <v>60</v>
      </c>
      <c r="G20" s="7" t="s">
        <v>60</v>
      </c>
      <c r="H20" s="7" t="s">
        <v>61</v>
      </c>
      <c r="I20" s="7" t="s">
        <v>60</v>
      </c>
      <c r="J20" s="7" t="s">
        <v>61</v>
      </c>
      <c r="K20" s="7" t="s">
        <v>62</v>
      </c>
      <c r="L20" s="7" t="s">
        <v>62</v>
      </c>
      <c r="M20" s="8" t="s">
        <v>60</v>
      </c>
      <c r="N20">
        <f>4 / 10*100</f>
        <v>40</v>
      </c>
    </row>
    <row r="21" spans="1:14" ht="15" thickBot="1" x14ac:dyDescent="0.4">
      <c r="A21">
        <v>13</v>
      </c>
      <c r="B21" t="s">
        <v>18</v>
      </c>
      <c r="C21" t="s">
        <v>29</v>
      </c>
      <c r="D21" s="5" t="s">
        <v>60</v>
      </c>
      <c r="E21" s="5" t="s">
        <v>61</v>
      </c>
      <c r="F21" s="5" t="s">
        <v>60</v>
      </c>
      <c r="G21" s="5" t="s">
        <v>63</v>
      </c>
      <c r="H21" s="5" t="s">
        <v>63</v>
      </c>
      <c r="I21" s="5" t="s">
        <v>60</v>
      </c>
      <c r="J21" s="5" t="s">
        <v>61</v>
      </c>
      <c r="K21" s="5" t="s">
        <v>61</v>
      </c>
      <c r="L21" s="5" t="s">
        <v>61</v>
      </c>
      <c r="M21" s="6" t="s">
        <v>60</v>
      </c>
      <c r="N21">
        <f>10 / 10*100</f>
        <v>100</v>
      </c>
    </row>
    <row r="22" spans="1:14" ht="15" thickBot="1" x14ac:dyDescent="0.4">
      <c r="A22">
        <v>14</v>
      </c>
      <c r="B22" t="s">
        <v>18</v>
      </c>
      <c r="C22" t="s">
        <v>30</v>
      </c>
      <c r="D22" s="7" t="s">
        <v>60</v>
      </c>
      <c r="E22" s="7" t="s">
        <v>61</v>
      </c>
      <c r="F22" s="7" t="s">
        <v>61</v>
      </c>
      <c r="G22" s="7" t="s">
        <v>62</v>
      </c>
      <c r="H22" s="7" t="s">
        <v>61</v>
      </c>
      <c r="I22" s="7" t="s">
        <v>61</v>
      </c>
      <c r="J22" s="7" t="s">
        <v>61</v>
      </c>
      <c r="K22" s="7" t="s">
        <v>63</v>
      </c>
      <c r="L22" s="7" t="s">
        <v>61</v>
      </c>
      <c r="M22" s="8" t="s">
        <v>61</v>
      </c>
      <c r="N22">
        <f>4 / 10*100</f>
        <v>40</v>
      </c>
    </row>
    <row r="23" spans="1:14" x14ac:dyDescent="0.35">
      <c r="A23">
        <v>15</v>
      </c>
      <c r="B23" t="s">
        <v>31</v>
      </c>
      <c r="C23" t="s">
        <v>32</v>
      </c>
    </row>
    <row r="24" spans="1:14" ht="15" thickBot="1" x14ac:dyDescent="0.4">
      <c r="A24">
        <v>16</v>
      </c>
      <c r="B24" t="s">
        <v>18</v>
      </c>
      <c r="C24" t="s">
        <v>33</v>
      </c>
    </row>
    <row r="25" spans="1:14" ht="15" thickBot="1" x14ac:dyDescent="0.4">
      <c r="A25">
        <v>17</v>
      </c>
      <c r="B25" t="s">
        <v>18</v>
      </c>
      <c r="C25" t="s">
        <v>34</v>
      </c>
      <c r="D25" s="5" t="s">
        <v>61</v>
      </c>
      <c r="E25" s="5" t="s">
        <v>60</v>
      </c>
      <c r="F25" s="5" t="s">
        <v>60</v>
      </c>
      <c r="G25" s="5" t="s">
        <v>61</v>
      </c>
      <c r="H25" s="5" t="s">
        <v>62</v>
      </c>
      <c r="I25" s="5" t="s">
        <v>60</v>
      </c>
      <c r="J25" s="5" t="s">
        <v>61</v>
      </c>
      <c r="K25" s="5" t="s">
        <v>60</v>
      </c>
      <c r="L25" s="5" t="s">
        <v>61</v>
      </c>
      <c r="M25" s="6" t="s">
        <v>60</v>
      </c>
      <c r="N25">
        <f>5 / 10*100</f>
        <v>50</v>
      </c>
    </row>
    <row r="26" spans="1:14" ht="15" thickBot="1" x14ac:dyDescent="0.4">
      <c r="A26">
        <v>18</v>
      </c>
      <c r="B26" t="s">
        <v>18</v>
      </c>
      <c r="C26" t="s">
        <v>35</v>
      </c>
      <c r="D26" s="5" t="s">
        <v>60</v>
      </c>
      <c r="E26" s="5" t="s">
        <v>61</v>
      </c>
      <c r="F26" s="5" t="s">
        <v>63</v>
      </c>
      <c r="G26" s="5" t="s">
        <v>60</v>
      </c>
      <c r="H26" s="5" t="s">
        <v>60</v>
      </c>
      <c r="I26" s="5" t="s">
        <v>63</v>
      </c>
      <c r="J26" s="5" t="s">
        <v>60</v>
      </c>
      <c r="K26" s="5" t="s">
        <v>60</v>
      </c>
      <c r="L26" s="5" t="s">
        <v>61</v>
      </c>
      <c r="M26" s="6" t="s">
        <v>61</v>
      </c>
      <c r="N26">
        <f>3 / 10*100</f>
        <v>30</v>
      </c>
    </row>
    <row r="27" spans="1:14" x14ac:dyDescent="0.35">
      <c r="A27">
        <v>19</v>
      </c>
      <c r="B27" t="s">
        <v>36</v>
      </c>
      <c r="C27" t="s">
        <v>37</v>
      </c>
    </row>
    <row r="28" spans="1:14" x14ac:dyDescent="0.35">
      <c r="A28">
        <v>20</v>
      </c>
      <c r="B28" t="s">
        <v>18</v>
      </c>
      <c r="C28" t="s">
        <v>38</v>
      </c>
    </row>
    <row r="29" spans="1:14" ht="15" thickBot="1" x14ac:dyDescent="0.4">
      <c r="A29">
        <v>21</v>
      </c>
      <c r="B29" t="s">
        <v>18</v>
      </c>
      <c r="C29" t="s">
        <v>39</v>
      </c>
    </row>
    <row r="30" spans="1:14" ht="15" thickBot="1" x14ac:dyDescent="0.4">
      <c r="A30">
        <v>22</v>
      </c>
      <c r="B30" t="s">
        <v>18</v>
      </c>
      <c r="C30" t="s">
        <v>40</v>
      </c>
      <c r="D30" s="7" t="s">
        <v>61</v>
      </c>
      <c r="E30" s="7" t="s">
        <v>60</v>
      </c>
      <c r="F30" s="7" t="s">
        <v>62</v>
      </c>
      <c r="G30" s="7" t="s">
        <v>61</v>
      </c>
      <c r="H30" s="7" t="s">
        <v>61</v>
      </c>
      <c r="I30" s="7" t="s">
        <v>61</v>
      </c>
      <c r="J30" s="7" t="s">
        <v>63</v>
      </c>
      <c r="K30" s="7" t="s">
        <v>60</v>
      </c>
      <c r="L30" s="7" t="s">
        <v>61</v>
      </c>
      <c r="M30" s="8" t="s">
        <v>61</v>
      </c>
      <c r="N30">
        <f>1 / 10*100</f>
        <v>10</v>
      </c>
    </row>
    <row r="31" spans="1:14" ht="15" thickBot="1" x14ac:dyDescent="0.4">
      <c r="A31">
        <v>23</v>
      </c>
      <c r="B31" t="s">
        <v>18</v>
      </c>
      <c r="C31" t="s">
        <v>41</v>
      </c>
      <c r="D31" s="5" t="s">
        <v>60</v>
      </c>
      <c r="E31" s="5" t="s">
        <v>61</v>
      </c>
      <c r="F31" s="5" t="s">
        <v>60</v>
      </c>
      <c r="G31" s="5" t="s">
        <v>63</v>
      </c>
      <c r="H31" s="5" t="s">
        <v>62</v>
      </c>
      <c r="I31" s="5" t="s">
        <v>60</v>
      </c>
      <c r="J31" s="5" t="s">
        <v>60</v>
      </c>
      <c r="K31" s="5" t="s">
        <v>62</v>
      </c>
      <c r="L31" s="5" t="s">
        <v>61</v>
      </c>
      <c r="M31" s="6" t="s">
        <v>60</v>
      </c>
      <c r="N31">
        <f>7 / 10*100</f>
        <v>70</v>
      </c>
    </row>
    <row r="32" spans="1:14" ht="15" thickBot="1" x14ac:dyDescent="0.4">
      <c r="A32">
        <v>24</v>
      </c>
      <c r="B32" t="s">
        <v>18</v>
      </c>
      <c r="C32" t="s">
        <v>42</v>
      </c>
      <c r="D32" s="7" t="s">
        <v>61</v>
      </c>
      <c r="E32" s="7" t="s">
        <v>60</v>
      </c>
      <c r="F32" s="7" t="s">
        <v>60</v>
      </c>
      <c r="G32" s="7" t="s">
        <v>61</v>
      </c>
      <c r="H32" s="7" t="s">
        <v>63</v>
      </c>
      <c r="I32" s="7" t="s">
        <v>62</v>
      </c>
      <c r="J32" s="7" t="s">
        <v>60</v>
      </c>
      <c r="K32" s="7" t="s">
        <v>61</v>
      </c>
      <c r="L32" s="7" t="s">
        <v>60</v>
      </c>
      <c r="M32" s="8" t="s">
        <v>60</v>
      </c>
      <c r="N32">
        <f>4 / 10*100</f>
        <v>40</v>
      </c>
    </row>
    <row r="33" spans="1:14" ht="15" thickBot="1" x14ac:dyDescent="0.4">
      <c r="A33">
        <v>25</v>
      </c>
      <c r="B33" t="s">
        <v>18</v>
      </c>
      <c r="C33" t="s">
        <v>43</v>
      </c>
      <c r="D33" s="5" t="s">
        <v>60</v>
      </c>
      <c r="E33" s="5" t="s">
        <v>62</v>
      </c>
      <c r="F33" s="5" t="s">
        <v>60</v>
      </c>
      <c r="G33" s="5" t="s">
        <v>61</v>
      </c>
      <c r="H33" s="5" t="s">
        <v>61</v>
      </c>
      <c r="I33" s="5" t="s">
        <v>62</v>
      </c>
      <c r="J33" s="5" t="s">
        <v>60</v>
      </c>
      <c r="K33" s="5" t="s">
        <v>63</v>
      </c>
      <c r="L33" s="5" t="s">
        <v>63</v>
      </c>
      <c r="M33" s="6" t="s">
        <v>60</v>
      </c>
      <c r="N33">
        <f>3 / 10*100</f>
        <v>30</v>
      </c>
    </row>
    <row r="34" spans="1:14" ht="15" thickBot="1" x14ac:dyDescent="0.4">
      <c r="A34">
        <v>26</v>
      </c>
      <c r="B34" t="s">
        <v>18</v>
      </c>
      <c r="C34" t="s">
        <v>44</v>
      </c>
      <c r="D34" s="7" t="s">
        <v>63</v>
      </c>
      <c r="E34" s="7" t="s">
        <v>63</v>
      </c>
      <c r="F34" s="7" t="s">
        <v>63</v>
      </c>
      <c r="G34" s="7" t="s">
        <v>63</v>
      </c>
      <c r="H34" s="7" t="s">
        <v>63</v>
      </c>
      <c r="I34" s="7" t="s">
        <v>63</v>
      </c>
      <c r="J34" s="7" t="s">
        <v>63</v>
      </c>
      <c r="K34" s="7" t="s">
        <v>63</v>
      </c>
      <c r="L34" s="7" t="s">
        <v>63</v>
      </c>
      <c r="M34" s="8" t="s">
        <v>63</v>
      </c>
      <c r="N34">
        <f>2 / 10*100</f>
        <v>20</v>
      </c>
    </row>
    <row r="35" spans="1:14" x14ac:dyDescent="0.35">
      <c r="A35">
        <v>27</v>
      </c>
      <c r="B35" t="s">
        <v>18</v>
      </c>
      <c r="C35" t="s">
        <v>45</v>
      </c>
    </row>
    <row r="36" spans="1:14" ht="15" thickBot="1" x14ac:dyDescent="0.4">
      <c r="A36">
        <v>29</v>
      </c>
      <c r="B36" t="s">
        <v>18</v>
      </c>
      <c r="C36" t="s">
        <v>46</v>
      </c>
    </row>
    <row r="37" spans="1:14" ht="15" thickBot="1" x14ac:dyDescent="0.4">
      <c r="A37">
        <v>30</v>
      </c>
      <c r="B37" t="s">
        <v>18</v>
      </c>
      <c r="C37" t="s">
        <v>47</v>
      </c>
      <c r="D37" s="7" t="s">
        <v>60</v>
      </c>
      <c r="E37" s="7" t="s">
        <v>61</v>
      </c>
      <c r="F37" s="7" t="s">
        <v>60</v>
      </c>
      <c r="G37" s="7" t="s">
        <v>62</v>
      </c>
      <c r="H37" s="7" t="s">
        <v>63</v>
      </c>
      <c r="I37" s="7" t="s">
        <v>60</v>
      </c>
      <c r="J37" s="7" t="s">
        <v>61</v>
      </c>
      <c r="K37" s="7" t="s">
        <v>61</v>
      </c>
      <c r="L37" s="7" t="s">
        <v>61</v>
      </c>
      <c r="M37" s="8" t="s">
        <v>61</v>
      </c>
      <c r="N37">
        <f>8 / 10*100</f>
        <v>80</v>
      </c>
    </row>
    <row r="38" spans="1:14" ht="15" thickBot="1" x14ac:dyDescent="0.4">
      <c r="A38">
        <v>31</v>
      </c>
      <c r="B38" t="s">
        <v>18</v>
      </c>
      <c r="C38" t="s">
        <v>48</v>
      </c>
      <c r="D38" s="5" t="s">
        <v>60</v>
      </c>
      <c r="E38" s="5" t="s">
        <v>61</v>
      </c>
      <c r="F38" s="5" t="s">
        <v>60</v>
      </c>
      <c r="G38" s="5" t="s">
        <v>63</v>
      </c>
      <c r="H38" s="5" t="s">
        <v>61</v>
      </c>
      <c r="I38" s="5" t="s">
        <v>60</v>
      </c>
      <c r="J38" s="5" t="s">
        <v>61</v>
      </c>
      <c r="K38" s="5" t="s">
        <v>60</v>
      </c>
      <c r="L38" s="5" t="s">
        <v>60</v>
      </c>
      <c r="M38" s="6" t="s">
        <v>60</v>
      </c>
      <c r="N38">
        <f>7 / 10*100</f>
        <v>70</v>
      </c>
    </row>
    <row r="39" spans="1:14" ht="15" thickBot="1" x14ac:dyDescent="0.4">
      <c r="A39">
        <v>32</v>
      </c>
      <c r="B39" t="s">
        <v>18</v>
      </c>
      <c r="C39" t="s">
        <v>49</v>
      </c>
      <c r="D39" s="7" t="s">
        <v>60</v>
      </c>
      <c r="E39" s="7" t="s">
        <v>62</v>
      </c>
      <c r="F39" s="7" t="s">
        <v>60</v>
      </c>
      <c r="G39" s="7" t="s">
        <v>60</v>
      </c>
      <c r="H39" s="7" t="s">
        <v>61</v>
      </c>
      <c r="I39" s="7" t="s">
        <v>60</v>
      </c>
      <c r="J39" s="7" t="s">
        <v>61</v>
      </c>
      <c r="K39" s="7" t="s">
        <v>62</v>
      </c>
      <c r="L39" s="7" t="s">
        <v>61</v>
      </c>
      <c r="M39" s="8" t="s">
        <v>60</v>
      </c>
      <c r="N39">
        <f>6 / 10*100</f>
        <v>60</v>
      </c>
    </row>
    <row r="40" spans="1:14" ht="15" thickBot="1" x14ac:dyDescent="0.4">
      <c r="A40">
        <v>34</v>
      </c>
      <c r="B40" t="s">
        <v>18</v>
      </c>
      <c r="C40" t="s">
        <v>50</v>
      </c>
      <c r="D40" s="5" t="s">
        <v>61</v>
      </c>
      <c r="E40" s="5" t="s">
        <v>63</v>
      </c>
      <c r="F40" s="5" t="s">
        <v>60</v>
      </c>
      <c r="G40" s="5" t="s">
        <v>62</v>
      </c>
      <c r="H40" s="5" t="s">
        <v>60</v>
      </c>
      <c r="I40" s="5" t="s">
        <v>63</v>
      </c>
      <c r="J40" s="5" t="s">
        <v>63</v>
      </c>
      <c r="K40" s="5" t="s">
        <v>60</v>
      </c>
      <c r="L40" s="5" t="s">
        <v>62</v>
      </c>
      <c r="M40" s="6" t="s">
        <v>60</v>
      </c>
      <c r="N40">
        <f>2 / 10*100</f>
        <v>20</v>
      </c>
    </row>
    <row r="41" spans="1:14" ht="15" thickBot="1" x14ac:dyDescent="0.4">
      <c r="A41">
        <v>35</v>
      </c>
      <c r="B41" t="s">
        <v>18</v>
      </c>
      <c r="C41" t="s">
        <v>51</v>
      </c>
      <c r="D41" s="7" t="s">
        <v>62</v>
      </c>
      <c r="E41" s="7" t="s">
        <v>63</v>
      </c>
      <c r="F41" s="7" t="s">
        <v>60</v>
      </c>
      <c r="G41" s="7" t="s">
        <v>60</v>
      </c>
      <c r="H41" s="7" t="s">
        <v>61</v>
      </c>
      <c r="I41" s="7" t="s">
        <v>60</v>
      </c>
      <c r="J41" s="7" t="s">
        <v>61</v>
      </c>
      <c r="K41" s="7" t="s">
        <v>62</v>
      </c>
      <c r="L41" s="7" t="s">
        <v>61</v>
      </c>
      <c r="M41" s="8" t="s">
        <v>60</v>
      </c>
      <c r="N41">
        <f>5 / 10*100</f>
        <v>50</v>
      </c>
    </row>
    <row r="42" spans="1:14" ht="15" thickBot="1" x14ac:dyDescent="0.4">
      <c r="A42">
        <v>36</v>
      </c>
      <c r="B42" t="s">
        <v>18</v>
      </c>
      <c r="C42" t="s">
        <v>52</v>
      </c>
      <c r="D42" s="5" t="s">
        <v>60</v>
      </c>
      <c r="E42" s="5" t="s">
        <v>61</v>
      </c>
      <c r="F42" s="5" t="s">
        <v>60</v>
      </c>
      <c r="G42" s="5" t="s">
        <v>60</v>
      </c>
      <c r="H42" s="5" t="s">
        <v>63</v>
      </c>
      <c r="I42" s="5" t="s">
        <v>60</v>
      </c>
      <c r="J42" s="5" t="s">
        <v>61</v>
      </c>
      <c r="K42" s="5" t="s">
        <v>61</v>
      </c>
      <c r="L42" s="5" t="s">
        <v>61</v>
      </c>
      <c r="M42" s="6" t="s">
        <v>60</v>
      </c>
      <c r="N42">
        <f>9 / 10*100</f>
        <v>90</v>
      </c>
    </row>
    <row r="43" spans="1:14" ht="15" thickBot="1" x14ac:dyDescent="0.4">
      <c r="A43">
        <v>37</v>
      </c>
      <c r="B43" t="s">
        <v>18</v>
      </c>
      <c r="C43" t="s">
        <v>53</v>
      </c>
      <c r="D43" s="7" t="s">
        <v>60</v>
      </c>
      <c r="E43" s="7" t="s">
        <v>61</v>
      </c>
      <c r="F43" s="7" t="s">
        <v>60</v>
      </c>
      <c r="G43" s="7" t="s">
        <v>63</v>
      </c>
      <c r="H43" s="7" t="s">
        <v>63</v>
      </c>
      <c r="I43" s="7" t="s">
        <v>60</v>
      </c>
      <c r="J43" s="7" t="s">
        <v>61</v>
      </c>
      <c r="K43" s="7" t="s">
        <v>61</v>
      </c>
      <c r="L43" s="7" t="s">
        <v>61</v>
      </c>
      <c r="M43" s="8" t="s">
        <v>60</v>
      </c>
      <c r="N43">
        <f>10 / 10*100</f>
        <v>100</v>
      </c>
    </row>
    <row r="44" spans="1:14" ht="15" thickBot="1" x14ac:dyDescent="0.4">
      <c r="A44">
        <v>38</v>
      </c>
      <c r="B44" t="s">
        <v>18</v>
      </c>
      <c r="C44" t="s">
        <v>54</v>
      </c>
    </row>
    <row r="45" spans="1:14" ht="15" thickBot="1" x14ac:dyDescent="0.4">
      <c r="A45">
        <v>39</v>
      </c>
      <c r="B45" t="s">
        <v>18</v>
      </c>
      <c r="C45" t="s">
        <v>55</v>
      </c>
      <c r="D45" s="5" t="s">
        <v>62</v>
      </c>
      <c r="E45" s="5" t="s">
        <v>61</v>
      </c>
      <c r="F45" s="5" t="s">
        <v>60</v>
      </c>
      <c r="G45" s="5" t="s">
        <v>62</v>
      </c>
      <c r="H45" s="5" t="s">
        <v>60</v>
      </c>
      <c r="I45" s="5" t="s">
        <v>61</v>
      </c>
      <c r="J45" s="5" t="s">
        <v>63</v>
      </c>
      <c r="K45" s="5" t="s">
        <v>62</v>
      </c>
      <c r="L45" s="5" t="s">
        <v>61</v>
      </c>
      <c r="M45" s="6" t="s">
        <v>63</v>
      </c>
      <c r="N45">
        <f>3 / 10*100</f>
        <v>30</v>
      </c>
    </row>
    <row r="46" spans="1:14" ht="15" thickBot="1" x14ac:dyDescent="0.4">
      <c r="A46">
        <v>40</v>
      </c>
      <c r="B46" t="s">
        <v>18</v>
      </c>
      <c r="C46" t="s">
        <v>56</v>
      </c>
      <c r="D46" s="9" t="s">
        <v>62</v>
      </c>
      <c r="E46" s="9" t="s">
        <v>61</v>
      </c>
      <c r="F46" s="9" t="s">
        <v>60</v>
      </c>
      <c r="G46" s="9" t="s">
        <v>63</v>
      </c>
      <c r="H46" s="9" t="s">
        <v>60</v>
      </c>
      <c r="I46" s="9" t="s">
        <v>60</v>
      </c>
      <c r="J46" s="9" t="s">
        <v>63</v>
      </c>
      <c r="K46" s="9" t="s">
        <v>61</v>
      </c>
      <c r="L46" s="9" t="s">
        <v>61</v>
      </c>
      <c r="M46" s="10" t="s">
        <v>61</v>
      </c>
      <c r="N46">
        <f>6 / 10*100</f>
        <v>60</v>
      </c>
    </row>
    <row r="47" spans="1:14" ht="15" thickBot="1" x14ac:dyDescent="0.4">
      <c r="A47">
        <v>41</v>
      </c>
      <c r="B47" t="s">
        <v>18</v>
      </c>
      <c r="C47" t="s">
        <v>57</v>
      </c>
      <c r="D47" s="7" t="s">
        <v>62</v>
      </c>
      <c r="E47" s="7" t="s">
        <v>60</v>
      </c>
      <c r="F47" s="7" t="s">
        <v>63</v>
      </c>
      <c r="G47" s="7" t="s">
        <v>60</v>
      </c>
      <c r="H47" s="7" t="s">
        <v>63</v>
      </c>
      <c r="I47" s="7" t="s">
        <v>61</v>
      </c>
      <c r="J47" s="7" t="s">
        <v>60</v>
      </c>
      <c r="K47" s="7" t="s">
        <v>62</v>
      </c>
      <c r="L47" s="7" t="s">
        <v>61</v>
      </c>
      <c r="M47" s="8" t="s">
        <v>61</v>
      </c>
      <c r="N47">
        <f>2 / 10*100</f>
        <v>20</v>
      </c>
    </row>
    <row r="48" spans="1:14" ht="15" thickBot="1" x14ac:dyDescent="0.4">
      <c r="A48">
        <v>42</v>
      </c>
      <c r="B48" t="s">
        <v>18</v>
      </c>
      <c r="C48" t="s">
        <v>58</v>
      </c>
      <c r="D48" s="7" t="s">
        <v>60</v>
      </c>
      <c r="E48" s="7" t="s">
        <v>61</v>
      </c>
      <c r="F48" s="7" t="s">
        <v>60</v>
      </c>
      <c r="G48" s="7" t="s">
        <v>63</v>
      </c>
      <c r="H48" s="7" t="s">
        <v>63</v>
      </c>
      <c r="I48" s="7" t="s">
        <v>60</v>
      </c>
      <c r="J48" s="7" t="s">
        <v>63</v>
      </c>
      <c r="K48" s="7" t="s">
        <v>60</v>
      </c>
      <c r="L48" s="7" t="s">
        <v>62</v>
      </c>
      <c r="M48" s="8" t="s">
        <v>60</v>
      </c>
      <c r="N48">
        <f>7 / 10*100</f>
        <v>70</v>
      </c>
    </row>
    <row r="49" spans="1:14" ht="15" thickBot="1" x14ac:dyDescent="0.4">
      <c r="A49">
        <v>43</v>
      </c>
      <c r="B49" t="s">
        <v>18</v>
      </c>
      <c r="C49" t="s">
        <v>59</v>
      </c>
      <c r="D49" s="5" t="s">
        <v>62</v>
      </c>
      <c r="E49" s="5" t="s">
        <v>61</v>
      </c>
      <c r="F49" s="5" t="s">
        <v>60</v>
      </c>
      <c r="G49" s="5" t="s">
        <v>63</v>
      </c>
      <c r="H49" s="5" t="s">
        <v>60</v>
      </c>
      <c r="I49" s="5" t="s">
        <v>60</v>
      </c>
      <c r="J49" s="5" t="s">
        <v>62</v>
      </c>
      <c r="K49" s="5" t="s">
        <v>61</v>
      </c>
      <c r="L49" s="5" t="s">
        <v>61</v>
      </c>
      <c r="M49" s="6" t="s">
        <v>60</v>
      </c>
      <c r="N49">
        <f>7 / 10*100</f>
        <v>70</v>
      </c>
    </row>
  </sheetData>
  <mergeCells count="1">
    <mergeCell ref="A1:S1"/>
  </mergeCells>
  <pageMargins left="0.75" right="0.75" top="0.75" bottom="0.5" header="0.5" footer="0.75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Gonzaga, Rafael Augusto Lopes</cp:lastModifiedBy>
  <dcterms:created xsi:type="dcterms:W3CDTF">2026-02-16T14:59:07Z</dcterms:created>
  <dcterms:modified xsi:type="dcterms:W3CDTF">2026-02-16T16:28:08Z</dcterms:modified>
</cp:coreProperties>
</file>